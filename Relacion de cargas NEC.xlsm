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inergiacm-my.sharepoint.com/personal/oscar_quiros_sinergia_co_cr/Documents/Relacion cargas CODE/"/>
    </mc:Choice>
  </mc:AlternateContent>
  <xr:revisionPtr revIDLastSave="0" documentId="8_{DE54A0C4-1632-44E8-86F8-BED1CB93F5F4}" xr6:coauthVersionLast="47" xr6:coauthVersionMax="47" xr10:uidLastSave="{00000000-0000-0000-0000-000000000000}"/>
  <bookViews>
    <workbookView xWindow="38280" yWindow="-120" windowWidth="29040" windowHeight="15720" activeTab="1" xr2:uid="{00000000-000D-0000-FFFF-FFFF00000000}"/>
  </bookViews>
  <sheets>
    <sheet name="Leeme" sheetId="1" r:id="rId1"/>
    <sheet name="Resumen" sheetId="2" r:id="rId2"/>
    <sheet name="Departamentos" sheetId="3" r:id="rId3"/>
    <sheet name="Viviendas" sheetId="4" r:id="rId4"/>
    <sheet name="Servicios" sheetId="5" r:id="rId5"/>
    <sheet name="Elevadores" sheetId="6" r:id="rId6"/>
    <sheet name="Parametros" sheetId="7" r:id="rId7"/>
  </sheets>
  <definedNames>
    <definedName name="brk_list">Parametros!$A$104:$A$140</definedName>
    <definedName name="cat_names">Parametros!$A$214:$A$247</definedName>
    <definedName name="cond_al">Parametros!$C$164:$C$183</definedName>
    <definedName name="cond_cu">Parametros!$B$164:$B$183</definedName>
    <definedName name="cond_ocpd">Parametros!$A$164:$A$183</definedName>
    <definedName name="list_sectores">Resumen!$A$10:$A$17</definedName>
    <definedName name="p_appl53Min">Parametros!$C$24</definedName>
    <definedName name="p_applFD">Parametros!$C$26</definedName>
    <definedName name="p_calentVA">Parametros!$C$12</definedName>
    <definedName name="p_cocinaVA">Parametros!$C$11</definedName>
    <definedName name="p_detectVA">Parametros!$C$16</definedName>
    <definedName name="p_divFD">Parametros!$C$23</definedName>
    <definedName name="p_elevAuto">Parametros!$C$36</definedName>
    <definedName name="p_extDwVAm2">Parametros!$C$14</definedName>
    <definedName name="p_fases">Parametros!$C$42</definedName>
    <definedName name="p_fCoinc">Parametros!$C$39</definedName>
    <definedName name="p_fdElev">Parametros!$C$35</definedName>
    <definedName name="p_fdEq">Parametros!$C$32</definedName>
    <definedName name="p_fdEsp">Parametros!$C$33</definedName>
    <definedName name="p_fdHvac">Parametros!$C$34</definedName>
    <definedName name="p_fdLuz">Parametros!$C$30</definedName>
    <definedName name="p_fdRec">Parametros!$C$31</definedName>
    <definedName name="p_genFD">Parametros!$C$21</definedName>
    <definedName name="p_gfciVA">Parametros!$C$10</definedName>
    <definedName name="p_hvacAggFD">Parametros!$C$27</definedName>
    <definedName name="p_hvacDwVAm2">Parametros!$C$17</definedName>
    <definedName name="p_hvacFD">Parametros!$C$22</definedName>
    <definedName name="p_hvacProjFD">Parametros!$C$28</definedName>
    <definedName name="p_lavVA">Parametros!$C$9</definedName>
    <definedName name="p_lightVA">Parametros!$C$6</definedName>
    <definedName name="p_manejPct">Parametros!$C$18</definedName>
    <definedName name="p_minBreaker">Parametros!$C$44</definedName>
    <definedName name="p_pf">Parametros!$C$40</definedName>
    <definedName name="p_protFactor">Parametros!$C$43</definedName>
    <definedName name="p_proyServSeparado">Parametros!$C$29</definedName>
    <definedName name="p_rec44">Parametros!$C$37</definedName>
    <definedName name="p_rec44Separado">Parametros!$C$38</definedName>
    <definedName name="p_recDwVAm2">Parametros!$C$13</definedName>
    <definedName name="p_restFD">Parametros!$C$20</definedName>
    <definedName name="p_sacN">Parametros!$C$7</definedName>
    <definedName name="p_sacVA">Parametros!$C$8</definedName>
    <definedName name="p_tablaIncluyeEquipos">Parametros!$C$25</definedName>
    <definedName name="p_telecomVA">Parametros!$C$15</definedName>
    <definedName name="p_tier1">Parametros!$C$19</definedName>
    <definedName name="p_vUnit">Parametros!$C$41</definedName>
    <definedName name="perfil_sel">Parametros!$C$3</definedName>
    <definedName name="t42_f1">Parametros!$B$49</definedName>
    <definedName name="t42_f2">Parametros!$B$50</definedName>
    <definedName name="t42_f3">Parametros!$B$51</definedName>
    <definedName name="t42_h1">Parametros!$A$49</definedName>
    <definedName name="t42_h2">Parametros!$A$50</definedName>
    <definedName name="t44_f1">Parametros!$B$56</definedName>
    <definedName name="t44_f2">Parametros!$B$57</definedName>
    <definedName name="t44_h1">Parametros!$A$56</definedName>
    <definedName name="t620_f">Parametros!$B$62:$B$71</definedName>
    <definedName name="t620_h">Parametros!$A$62:$A$71</definedName>
    <definedName name="t84_f">Parametros!$B$76:$B$99</definedName>
    <definedName name="t84_h">Parametros!$A$76:$A$99</definedName>
    <definedName name="tbl_cat">Parametros!$A$214:$C$247</definedName>
    <definedName name="tipos_hvac">Parametros!$E$188:$E$209</definedName>
    <definedName name="tipos_luz">Parametros!$B$188:$B$209</definedName>
    <definedName name="tipos_n">Parametros!$A$188:$A$209</definedName>
    <definedName name="tipos_rec">Parametros!$D$188:$D$209</definedName>
    <definedName name="tipos_ups">Parametros!$C$188:$C$209</definedName>
    <definedName name="trafo_list">Parametros!$A$145:$A$159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7" l="1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K36" i="6"/>
  <c r="J36" i="6"/>
  <c r="I36" i="6"/>
  <c r="G36" i="6"/>
  <c r="F36" i="6"/>
  <c r="E36" i="6"/>
  <c r="K35" i="6"/>
  <c r="J35" i="6"/>
  <c r="I35" i="6"/>
  <c r="G35" i="6"/>
  <c r="F35" i="6"/>
  <c r="E35" i="6"/>
  <c r="K34" i="6"/>
  <c r="J34" i="6"/>
  <c r="I34" i="6"/>
  <c r="G34" i="6"/>
  <c r="F34" i="6"/>
  <c r="E34" i="6"/>
  <c r="K33" i="6"/>
  <c r="J33" i="6"/>
  <c r="I33" i="6"/>
  <c r="G33" i="6"/>
  <c r="F33" i="6"/>
  <c r="E33" i="6"/>
  <c r="K32" i="6"/>
  <c r="J32" i="6"/>
  <c r="I32" i="6"/>
  <c r="G32" i="6"/>
  <c r="F32" i="6"/>
  <c r="E32" i="6"/>
  <c r="K31" i="6"/>
  <c r="J31" i="6"/>
  <c r="I31" i="6"/>
  <c r="G31" i="6"/>
  <c r="F31" i="6"/>
  <c r="E31" i="6"/>
  <c r="K30" i="6"/>
  <c r="J30" i="6"/>
  <c r="I30" i="6"/>
  <c r="G30" i="6"/>
  <c r="F30" i="6"/>
  <c r="E30" i="6"/>
  <c r="K29" i="6"/>
  <c r="J29" i="6"/>
  <c r="I29" i="6"/>
  <c r="G29" i="6"/>
  <c r="F29" i="6"/>
  <c r="E29" i="6"/>
  <c r="K28" i="6"/>
  <c r="J28" i="6"/>
  <c r="I28" i="6"/>
  <c r="G28" i="6"/>
  <c r="F28" i="6"/>
  <c r="E28" i="6"/>
  <c r="K27" i="6"/>
  <c r="J27" i="6"/>
  <c r="I27" i="6"/>
  <c r="G27" i="6"/>
  <c r="F27" i="6"/>
  <c r="E27" i="6"/>
  <c r="K26" i="6"/>
  <c r="J26" i="6"/>
  <c r="I26" i="6"/>
  <c r="G26" i="6"/>
  <c r="F26" i="6"/>
  <c r="E26" i="6"/>
  <c r="K25" i="6"/>
  <c r="J25" i="6"/>
  <c r="I25" i="6"/>
  <c r="G25" i="6"/>
  <c r="F25" i="6"/>
  <c r="E25" i="6"/>
  <c r="K24" i="6"/>
  <c r="J24" i="6"/>
  <c r="I24" i="6"/>
  <c r="G24" i="6"/>
  <c r="F24" i="6"/>
  <c r="E24" i="6"/>
  <c r="K23" i="6"/>
  <c r="J23" i="6"/>
  <c r="I23" i="6"/>
  <c r="G23" i="6"/>
  <c r="F23" i="6"/>
  <c r="E23" i="6"/>
  <c r="K22" i="6"/>
  <c r="J22" i="6"/>
  <c r="I22" i="6"/>
  <c r="G22" i="6"/>
  <c r="F22" i="6"/>
  <c r="E22" i="6"/>
  <c r="K21" i="6"/>
  <c r="J21" i="6"/>
  <c r="I21" i="6"/>
  <c r="G21" i="6"/>
  <c r="F21" i="6"/>
  <c r="E21" i="6"/>
  <c r="K20" i="6"/>
  <c r="J20" i="6"/>
  <c r="I20" i="6"/>
  <c r="G20" i="6"/>
  <c r="F20" i="6"/>
  <c r="E20" i="6"/>
  <c r="K19" i="6"/>
  <c r="J19" i="6"/>
  <c r="I19" i="6"/>
  <c r="G19" i="6"/>
  <c r="F19" i="6"/>
  <c r="E19" i="6"/>
  <c r="K18" i="6"/>
  <c r="J18" i="6"/>
  <c r="I18" i="6"/>
  <c r="G18" i="6"/>
  <c r="F18" i="6"/>
  <c r="E18" i="6"/>
  <c r="K17" i="6"/>
  <c r="J17" i="6"/>
  <c r="I17" i="6"/>
  <c r="G17" i="6"/>
  <c r="F17" i="6"/>
  <c r="E17" i="6"/>
  <c r="K16" i="6"/>
  <c r="J16" i="6"/>
  <c r="I16" i="6"/>
  <c r="G16" i="6"/>
  <c r="F16" i="6"/>
  <c r="E16" i="6"/>
  <c r="K15" i="6"/>
  <c r="J15" i="6"/>
  <c r="I15" i="6"/>
  <c r="G15" i="6"/>
  <c r="F15" i="6"/>
  <c r="E15" i="6"/>
  <c r="K14" i="6"/>
  <c r="J14" i="6"/>
  <c r="I14" i="6"/>
  <c r="G14" i="6"/>
  <c r="F14" i="6"/>
  <c r="E14" i="6"/>
  <c r="K13" i="6"/>
  <c r="J13" i="6"/>
  <c r="I13" i="6"/>
  <c r="G13" i="6"/>
  <c r="F13" i="6"/>
  <c r="E13" i="6"/>
  <c r="K12" i="6"/>
  <c r="J12" i="6"/>
  <c r="I12" i="6"/>
  <c r="G12" i="6"/>
  <c r="F12" i="6"/>
  <c r="E12" i="6"/>
  <c r="K11" i="6"/>
  <c r="J11" i="6"/>
  <c r="I11" i="6"/>
  <c r="G11" i="6"/>
  <c r="F11" i="6"/>
  <c r="E11" i="6"/>
  <c r="K10" i="6"/>
  <c r="J10" i="6"/>
  <c r="I10" i="6"/>
  <c r="G10" i="6"/>
  <c r="F10" i="6"/>
  <c r="E10" i="6"/>
  <c r="K9" i="6"/>
  <c r="J9" i="6"/>
  <c r="I9" i="6"/>
  <c r="G9" i="6"/>
  <c r="F9" i="6"/>
  <c r="E9" i="6"/>
  <c r="K8" i="6"/>
  <c r="J8" i="6"/>
  <c r="I8" i="6"/>
  <c r="G8" i="6"/>
  <c r="F8" i="6"/>
  <c r="E8" i="6"/>
  <c r="K7" i="6"/>
  <c r="J7" i="6"/>
  <c r="I7" i="6"/>
  <c r="G7" i="6"/>
  <c r="F7" i="6"/>
  <c r="E7" i="6"/>
  <c r="W106" i="5"/>
  <c r="V106" i="5"/>
  <c r="U106" i="5"/>
  <c r="T106" i="5"/>
  <c r="S106" i="5"/>
  <c r="R106" i="5"/>
  <c r="Q106" i="5"/>
  <c r="P106" i="5"/>
  <c r="O106" i="5"/>
  <c r="N106" i="5"/>
  <c r="W105" i="5"/>
  <c r="V105" i="5"/>
  <c r="U105" i="5"/>
  <c r="T105" i="5"/>
  <c r="S105" i="5"/>
  <c r="R105" i="5"/>
  <c r="Q105" i="5"/>
  <c r="P105" i="5"/>
  <c r="O105" i="5"/>
  <c r="N105" i="5"/>
  <c r="W104" i="5"/>
  <c r="V104" i="5"/>
  <c r="U104" i="5"/>
  <c r="T104" i="5"/>
  <c r="S104" i="5"/>
  <c r="R104" i="5"/>
  <c r="Q104" i="5"/>
  <c r="P104" i="5"/>
  <c r="O104" i="5"/>
  <c r="N104" i="5"/>
  <c r="W103" i="5"/>
  <c r="V103" i="5"/>
  <c r="U103" i="5"/>
  <c r="T103" i="5"/>
  <c r="S103" i="5"/>
  <c r="R103" i="5"/>
  <c r="Q103" i="5"/>
  <c r="P103" i="5"/>
  <c r="O103" i="5"/>
  <c r="N103" i="5"/>
  <c r="W102" i="5"/>
  <c r="V102" i="5"/>
  <c r="U102" i="5"/>
  <c r="T102" i="5"/>
  <c r="S102" i="5"/>
  <c r="R102" i="5"/>
  <c r="Q102" i="5"/>
  <c r="P102" i="5"/>
  <c r="O102" i="5"/>
  <c r="N102" i="5"/>
  <c r="W101" i="5"/>
  <c r="V101" i="5"/>
  <c r="U101" i="5"/>
  <c r="T101" i="5"/>
  <c r="S101" i="5"/>
  <c r="R101" i="5"/>
  <c r="Q101" i="5"/>
  <c r="P101" i="5"/>
  <c r="O101" i="5"/>
  <c r="N101" i="5"/>
  <c r="W100" i="5"/>
  <c r="V100" i="5"/>
  <c r="U100" i="5"/>
  <c r="T100" i="5"/>
  <c r="S100" i="5"/>
  <c r="R100" i="5"/>
  <c r="Q100" i="5"/>
  <c r="P100" i="5"/>
  <c r="O100" i="5"/>
  <c r="N100" i="5"/>
  <c r="W99" i="5"/>
  <c r="V99" i="5"/>
  <c r="U99" i="5"/>
  <c r="T99" i="5"/>
  <c r="S99" i="5"/>
  <c r="R99" i="5"/>
  <c r="Q99" i="5"/>
  <c r="P99" i="5"/>
  <c r="O99" i="5"/>
  <c r="N99" i="5"/>
  <c r="W98" i="5"/>
  <c r="V98" i="5"/>
  <c r="U98" i="5"/>
  <c r="T98" i="5"/>
  <c r="S98" i="5"/>
  <c r="R98" i="5"/>
  <c r="Q98" i="5"/>
  <c r="P98" i="5"/>
  <c r="O98" i="5"/>
  <c r="N98" i="5"/>
  <c r="W97" i="5"/>
  <c r="V97" i="5"/>
  <c r="U97" i="5"/>
  <c r="T97" i="5"/>
  <c r="S97" i="5"/>
  <c r="R97" i="5"/>
  <c r="Q97" i="5"/>
  <c r="P97" i="5"/>
  <c r="O97" i="5"/>
  <c r="N97" i="5"/>
  <c r="W96" i="5"/>
  <c r="V96" i="5"/>
  <c r="U96" i="5"/>
  <c r="T96" i="5"/>
  <c r="S96" i="5"/>
  <c r="R96" i="5"/>
  <c r="Q96" i="5"/>
  <c r="P96" i="5"/>
  <c r="O96" i="5"/>
  <c r="N96" i="5"/>
  <c r="W95" i="5"/>
  <c r="V95" i="5"/>
  <c r="U95" i="5"/>
  <c r="T95" i="5"/>
  <c r="S95" i="5"/>
  <c r="R95" i="5"/>
  <c r="Q95" i="5"/>
  <c r="P95" i="5"/>
  <c r="O95" i="5"/>
  <c r="N95" i="5"/>
  <c r="W94" i="5"/>
  <c r="V94" i="5"/>
  <c r="U94" i="5"/>
  <c r="T94" i="5"/>
  <c r="S94" i="5"/>
  <c r="R94" i="5"/>
  <c r="Q94" i="5"/>
  <c r="P94" i="5"/>
  <c r="O94" i="5"/>
  <c r="N94" i="5"/>
  <c r="W93" i="5"/>
  <c r="V93" i="5"/>
  <c r="U93" i="5"/>
  <c r="T93" i="5"/>
  <c r="S93" i="5"/>
  <c r="R93" i="5"/>
  <c r="Q93" i="5"/>
  <c r="P93" i="5"/>
  <c r="O93" i="5"/>
  <c r="N93" i="5"/>
  <c r="W92" i="5"/>
  <c r="V92" i="5"/>
  <c r="U92" i="5"/>
  <c r="T92" i="5"/>
  <c r="S92" i="5"/>
  <c r="R92" i="5"/>
  <c r="Q92" i="5"/>
  <c r="P92" i="5"/>
  <c r="O92" i="5"/>
  <c r="N92" i="5"/>
  <c r="W91" i="5"/>
  <c r="V91" i="5"/>
  <c r="U91" i="5"/>
  <c r="T91" i="5"/>
  <c r="S91" i="5"/>
  <c r="R91" i="5"/>
  <c r="Q91" i="5"/>
  <c r="P91" i="5"/>
  <c r="O91" i="5"/>
  <c r="N91" i="5"/>
  <c r="W90" i="5"/>
  <c r="V90" i="5"/>
  <c r="U90" i="5"/>
  <c r="T90" i="5"/>
  <c r="S90" i="5"/>
  <c r="R90" i="5"/>
  <c r="Q90" i="5"/>
  <c r="P90" i="5"/>
  <c r="O90" i="5"/>
  <c r="N90" i="5"/>
  <c r="W89" i="5"/>
  <c r="V89" i="5"/>
  <c r="U89" i="5"/>
  <c r="T89" i="5"/>
  <c r="S89" i="5"/>
  <c r="R89" i="5"/>
  <c r="Q89" i="5"/>
  <c r="P89" i="5"/>
  <c r="O89" i="5"/>
  <c r="N89" i="5"/>
  <c r="W88" i="5"/>
  <c r="V88" i="5"/>
  <c r="U88" i="5"/>
  <c r="T88" i="5"/>
  <c r="S88" i="5"/>
  <c r="R88" i="5"/>
  <c r="Q88" i="5"/>
  <c r="P88" i="5"/>
  <c r="O88" i="5"/>
  <c r="N88" i="5"/>
  <c r="W87" i="5"/>
  <c r="V87" i="5"/>
  <c r="U87" i="5"/>
  <c r="T87" i="5"/>
  <c r="S87" i="5"/>
  <c r="R87" i="5"/>
  <c r="Q87" i="5"/>
  <c r="P87" i="5"/>
  <c r="O87" i="5"/>
  <c r="N87" i="5"/>
  <c r="W86" i="5"/>
  <c r="V86" i="5"/>
  <c r="U86" i="5"/>
  <c r="T86" i="5"/>
  <c r="S86" i="5"/>
  <c r="R86" i="5"/>
  <c r="Q86" i="5"/>
  <c r="P86" i="5"/>
  <c r="O86" i="5"/>
  <c r="N86" i="5"/>
  <c r="W85" i="5"/>
  <c r="V85" i="5"/>
  <c r="U85" i="5"/>
  <c r="T85" i="5"/>
  <c r="S85" i="5"/>
  <c r="R85" i="5"/>
  <c r="Q85" i="5"/>
  <c r="P85" i="5"/>
  <c r="O85" i="5"/>
  <c r="N85" i="5"/>
  <c r="W84" i="5"/>
  <c r="V84" i="5"/>
  <c r="U84" i="5"/>
  <c r="T84" i="5"/>
  <c r="S84" i="5"/>
  <c r="R84" i="5"/>
  <c r="Q84" i="5"/>
  <c r="P84" i="5"/>
  <c r="O84" i="5"/>
  <c r="N84" i="5"/>
  <c r="W83" i="5"/>
  <c r="V83" i="5"/>
  <c r="U83" i="5"/>
  <c r="T83" i="5"/>
  <c r="S83" i="5"/>
  <c r="R83" i="5"/>
  <c r="Q83" i="5"/>
  <c r="P83" i="5"/>
  <c r="O83" i="5"/>
  <c r="N83" i="5"/>
  <c r="W82" i="5"/>
  <c r="V82" i="5"/>
  <c r="U82" i="5"/>
  <c r="T82" i="5"/>
  <c r="S82" i="5"/>
  <c r="R82" i="5"/>
  <c r="Q82" i="5"/>
  <c r="P82" i="5"/>
  <c r="O82" i="5"/>
  <c r="N82" i="5"/>
  <c r="W81" i="5"/>
  <c r="V81" i="5"/>
  <c r="U81" i="5"/>
  <c r="T81" i="5"/>
  <c r="S81" i="5"/>
  <c r="R81" i="5"/>
  <c r="Q81" i="5"/>
  <c r="P81" i="5"/>
  <c r="O81" i="5"/>
  <c r="N81" i="5"/>
  <c r="W80" i="5"/>
  <c r="V80" i="5"/>
  <c r="U80" i="5"/>
  <c r="T80" i="5"/>
  <c r="S80" i="5"/>
  <c r="R80" i="5"/>
  <c r="Q80" i="5"/>
  <c r="P80" i="5"/>
  <c r="O80" i="5"/>
  <c r="N80" i="5"/>
  <c r="W79" i="5"/>
  <c r="V79" i="5"/>
  <c r="U79" i="5"/>
  <c r="T79" i="5"/>
  <c r="S79" i="5"/>
  <c r="R79" i="5"/>
  <c r="Q79" i="5"/>
  <c r="P79" i="5"/>
  <c r="O79" i="5"/>
  <c r="N79" i="5"/>
  <c r="W78" i="5"/>
  <c r="V78" i="5"/>
  <c r="U78" i="5"/>
  <c r="T78" i="5"/>
  <c r="S78" i="5"/>
  <c r="R78" i="5"/>
  <c r="Q78" i="5"/>
  <c r="P78" i="5"/>
  <c r="O78" i="5"/>
  <c r="N78" i="5"/>
  <c r="W77" i="5"/>
  <c r="V77" i="5"/>
  <c r="U77" i="5"/>
  <c r="T77" i="5"/>
  <c r="S77" i="5"/>
  <c r="R77" i="5"/>
  <c r="Q77" i="5"/>
  <c r="P77" i="5"/>
  <c r="O77" i="5"/>
  <c r="N77" i="5"/>
  <c r="W76" i="5"/>
  <c r="V76" i="5"/>
  <c r="U76" i="5"/>
  <c r="T76" i="5"/>
  <c r="S76" i="5"/>
  <c r="R76" i="5"/>
  <c r="Q76" i="5"/>
  <c r="P76" i="5"/>
  <c r="O76" i="5"/>
  <c r="N76" i="5"/>
  <c r="W75" i="5"/>
  <c r="V75" i="5"/>
  <c r="U75" i="5"/>
  <c r="T75" i="5"/>
  <c r="S75" i="5"/>
  <c r="R75" i="5"/>
  <c r="Q75" i="5"/>
  <c r="P75" i="5"/>
  <c r="O75" i="5"/>
  <c r="N75" i="5"/>
  <c r="W74" i="5"/>
  <c r="V74" i="5"/>
  <c r="U74" i="5"/>
  <c r="T74" i="5"/>
  <c r="S74" i="5"/>
  <c r="R74" i="5"/>
  <c r="Q74" i="5"/>
  <c r="P74" i="5"/>
  <c r="O74" i="5"/>
  <c r="N74" i="5"/>
  <c r="W73" i="5"/>
  <c r="V73" i="5"/>
  <c r="U73" i="5"/>
  <c r="T73" i="5"/>
  <c r="S73" i="5"/>
  <c r="R73" i="5"/>
  <c r="Q73" i="5"/>
  <c r="P73" i="5"/>
  <c r="O73" i="5"/>
  <c r="N73" i="5"/>
  <c r="W72" i="5"/>
  <c r="V72" i="5"/>
  <c r="U72" i="5"/>
  <c r="T72" i="5"/>
  <c r="S72" i="5"/>
  <c r="R72" i="5"/>
  <c r="Q72" i="5"/>
  <c r="P72" i="5"/>
  <c r="O72" i="5"/>
  <c r="N72" i="5"/>
  <c r="W71" i="5"/>
  <c r="V71" i="5"/>
  <c r="U71" i="5"/>
  <c r="T71" i="5"/>
  <c r="S71" i="5"/>
  <c r="R71" i="5"/>
  <c r="Q71" i="5"/>
  <c r="P71" i="5"/>
  <c r="O71" i="5"/>
  <c r="N71" i="5"/>
  <c r="W70" i="5"/>
  <c r="V70" i="5"/>
  <c r="U70" i="5"/>
  <c r="T70" i="5"/>
  <c r="S70" i="5"/>
  <c r="R70" i="5"/>
  <c r="Q70" i="5"/>
  <c r="P70" i="5"/>
  <c r="O70" i="5"/>
  <c r="N70" i="5"/>
  <c r="W69" i="5"/>
  <c r="V69" i="5"/>
  <c r="U69" i="5"/>
  <c r="T69" i="5"/>
  <c r="S69" i="5"/>
  <c r="R69" i="5"/>
  <c r="Q69" i="5"/>
  <c r="P69" i="5"/>
  <c r="O69" i="5"/>
  <c r="N69" i="5"/>
  <c r="W68" i="5"/>
  <c r="V68" i="5"/>
  <c r="U68" i="5"/>
  <c r="T68" i="5"/>
  <c r="S68" i="5"/>
  <c r="R68" i="5"/>
  <c r="Q68" i="5"/>
  <c r="P68" i="5"/>
  <c r="O68" i="5"/>
  <c r="N68" i="5"/>
  <c r="W67" i="5"/>
  <c r="V67" i="5"/>
  <c r="U67" i="5"/>
  <c r="T67" i="5"/>
  <c r="S67" i="5"/>
  <c r="R67" i="5"/>
  <c r="Q67" i="5"/>
  <c r="P67" i="5"/>
  <c r="O67" i="5"/>
  <c r="N67" i="5"/>
  <c r="W66" i="5"/>
  <c r="V66" i="5"/>
  <c r="U66" i="5"/>
  <c r="T66" i="5"/>
  <c r="S66" i="5"/>
  <c r="R66" i="5"/>
  <c r="Q66" i="5"/>
  <c r="P66" i="5"/>
  <c r="O66" i="5"/>
  <c r="N66" i="5"/>
  <c r="W65" i="5"/>
  <c r="V65" i="5"/>
  <c r="U65" i="5"/>
  <c r="T65" i="5"/>
  <c r="S65" i="5"/>
  <c r="R65" i="5"/>
  <c r="Q65" i="5"/>
  <c r="P65" i="5"/>
  <c r="O65" i="5"/>
  <c r="N65" i="5"/>
  <c r="W64" i="5"/>
  <c r="V64" i="5"/>
  <c r="U64" i="5"/>
  <c r="T64" i="5"/>
  <c r="S64" i="5"/>
  <c r="R64" i="5"/>
  <c r="Q64" i="5"/>
  <c r="P64" i="5"/>
  <c r="O64" i="5"/>
  <c r="N64" i="5"/>
  <c r="W63" i="5"/>
  <c r="V63" i="5"/>
  <c r="U63" i="5"/>
  <c r="T63" i="5"/>
  <c r="S63" i="5"/>
  <c r="R63" i="5"/>
  <c r="Q63" i="5"/>
  <c r="P63" i="5"/>
  <c r="O63" i="5"/>
  <c r="N63" i="5"/>
  <c r="W62" i="5"/>
  <c r="V62" i="5"/>
  <c r="U62" i="5"/>
  <c r="T62" i="5"/>
  <c r="S62" i="5"/>
  <c r="R62" i="5"/>
  <c r="Q62" i="5"/>
  <c r="P62" i="5"/>
  <c r="O62" i="5"/>
  <c r="N62" i="5"/>
  <c r="W61" i="5"/>
  <c r="V61" i="5"/>
  <c r="U61" i="5"/>
  <c r="T61" i="5"/>
  <c r="S61" i="5"/>
  <c r="R61" i="5"/>
  <c r="Q61" i="5"/>
  <c r="P61" i="5"/>
  <c r="O61" i="5"/>
  <c r="N61" i="5"/>
  <c r="W60" i="5"/>
  <c r="V60" i="5"/>
  <c r="U60" i="5"/>
  <c r="T60" i="5"/>
  <c r="S60" i="5"/>
  <c r="R60" i="5"/>
  <c r="Q60" i="5"/>
  <c r="P60" i="5"/>
  <c r="O60" i="5"/>
  <c r="N60" i="5"/>
  <c r="W59" i="5"/>
  <c r="V59" i="5"/>
  <c r="U59" i="5"/>
  <c r="T59" i="5"/>
  <c r="S59" i="5"/>
  <c r="R59" i="5"/>
  <c r="Q59" i="5"/>
  <c r="P59" i="5"/>
  <c r="O59" i="5"/>
  <c r="N59" i="5"/>
  <c r="W58" i="5"/>
  <c r="V58" i="5"/>
  <c r="U58" i="5"/>
  <c r="T58" i="5"/>
  <c r="S58" i="5"/>
  <c r="R58" i="5"/>
  <c r="Q58" i="5"/>
  <c r="P58" i="5"/>
  <c r="O58" i="5"/>
  <c r="N58" i="5"/>
  <c r="W57" i="5"/>
  <c r="V57" i="5"/>
  <c r="U57" i="5"/>
  <c r="T57" i="5"/>
  <c r="S57" i="5"/>
  <c r="R57" i="5"/>
  <c r="Q57" i="5"/>
  <c r="P57" i="5"/>
  <c r="O57" i="5"/>
  <c r="N57" i="5"/>
  <c r="W56" i="5"/>
  <c r="V56" i="5"/>
  <c r="U56" i="5"/>
  <c r="T56" i="5"/>
  <c r="S56" i="5"/>
  <c r="R56" i="5"/>
  <c r="Q56" i="5"/>
  <c r="P56" i="5"/>
  <c r="O56" i="5"/>
  <c r="N56" i="5"/>
  <c r="W55" i="5"/>
  <c r="V55" i="5"/>
  <c r="U55" i="5"/>
  <c r="T55" i="5"/>
  <c r="S55" i="5"/>
  <c r="R55" i="5"/>
  <c r="Q55" i="5"/>
  <c r="P55" i="5"/>
  <c r="O55" i="5"/>
  <c r="N55" i="5"/>
  <c r="W54" i="5"/>
  <c r="V54" i="5"/>
  <c r="U54" i="5"/>
  <c r="T54" i="5"/>
  <c r="S54" i="5"/>
  <c r="R54" i="5"/>
  <c r="Q54" i="5"/>
  <c r="P54" i="5"/>
  <c r="O54" i="5"/>
  <c r="N54" i="5"/>
  <c r="W53" i="5"/>
  <c r="V53" i="5"/>
  <c r="U53" i="5"/>
  <c r="T53" i="5"/>
  <c r="S53" i="5"/>
  <c r="R53" i="5"/>
  <c r="Q53" i="5"/>
  <c r="P53" i="5"/>
  <c r="O53" i="5"/>
  <c r="N53" i="5"/>
  <c r="W52" i="5"/>
  <c r="V52" i="5"/>
  <c r="U52" i="5"/>
  <c r="T52" i="5"/>
  <c r="S52" i="5"/>
  <c r="R52" i="5"/>
  <c r="Q52" i="5"/>
  <c r="P52" i="5"/>
  <c r="O52" i="5"/>
  <c r="N52" i="5"/>
  <c r="W51" i="5"/>
  <c r="V51" i="5"/>
  <c r="U51" i="5"/>
  <c r="T51" i="5"/>
  <c r="S51" i="5"/>
  <c r="R51" i="5"/>
  <c r="Q51" i="5"/>
  <c r="P51" i="5"/>
  <c r="O51" i="5"/>
  <c r="N51" i="5"/>
  <c r="W50" i="5"/>
  <c r="V50" i="5"/>
  <c r="U50" i="5"/>
  <c r="T50" i="5"/>
  <c r="S50" i="5"/>
  <c r="R50" i="5"/>
  <c r="Q50" i="5"/>
  <c r="P50" i="5"/>
  <c r="O50" i="5"/>
  <c r="N50" i="5"/>
  <c r="W49" i="5"/>
  <c r="V49" i="5"/>
  <c r="U49" i="5"/>
  <c r="T49" i="5"/>
  <c r="S49" i="5"/>
  <c r="R49" i="5"/>
  <c r="Q49" i="5"/>
  <c r="P49" i="5"/>
  <c r="O49" i="5"/>
  <c r="N49" i="5"/>
  <c r="W48" i="5"/>
  <c r="V48" i="5"/>
  <c r="U48" i="5"/>
  <c r="T48" i="5"/>
  <c r="S48" i="5"/>
  <c r="R48" i="5"/>
  <c r="Q48" i="5"/>
  <c r="P48" i="5"/>
  <c r="O48" i="5"/>
  <c r="N48" i="5"/>
  <c r="W47" i="5"/>
  <c r="V47" i="5"/>
  <c r="U47" i="5"/>
  <c r="T47" i="5"/>
  <c r="S47" i="5"/>
  <c r="R47" i="5"/>
  <c r="Q47" i="5"/>
  <c r="P47" i="5"/>
  <c r="O47" i="5"/>
  <c r="N47" i="5"/>
  <c r="W46" i="5"/>
  <c r="V46" i="5"/>
  <c r="U46" i="5"/>
  <c r="T46" i="5"/>
  <c r="S46" i="5"/>
  <c r="R46" i="5"/>
  <c r="Q46" i="5"/>
  <c r="P46" i="5"/>
  <c r="O46" i="5"/>
  <c r="N46" i="5"/>
  <c r="W45" i="5"/>
  <c r="V45" i="5"/>
  <c r="U45" i="5"/>
  <c r="T45" i="5"/>
  <c r="S45" i="5"/>
  <c r="R45" i="5"/>
  <c r="Q45" i="5"/>
  <c r="P45" i="5"/>
  <c r="O45" i="5"/>
  <c r="N45" i="5"/>
  <c r="W44" i="5"/>
  <c r="V44" i="5"/>
  <c r="U44" i="5"/>
  <c r="T44" i="5"/>
  <c r="S44" i="5"/>
  <c r="R44" i="5"/>
  <c r="Q44" i="5"/>
  <c r="P44" i="5"/>
  <c r="O44" i="5"/>
  <c r="N44" i="5"/>
  <c r="W43" i="5"/>
  <c r="V43" i="5"/>
  <c r="U43" i="5"/>
  <c r="T43" i="5"/>
  <c r="S43" i="5"/>
  <c r="R43" i="5"/>
  <c r="Q43" i="5"/>
  <c r="P43" i="5"/>
  <c r="O43" i="5"/>
  <c r="N43" i="5"/>
  <c r="W42" i="5"/>
  <c r="V42" i="5"/>
  <c r="U42" i="5"/>
  <c r="T42" i="5"/>
  <c r="S42" i="5"/>
  <c r="R42" i="5"/>
  <c r="Q42" i="5"/>
  <c r="P42" i="5"/>
  <c r="O42" i="5"/>
  <c r="N42" i="5"/>
  <c r="W41" i="5"/>
  <c r="V41" i="5"/>
  <c r="U41" i="5"/>
  <c r="T41" i="5"/>
  <c r="S41" i="5"/>
  <c r="R41" i="5"/>
  <c r="Q41" i="5"/>
  <c r="P41" i="5"/>
  <c r="O41" i="5"/>
  <c r="N41" i="5"/>
  <c r="W40" i="5"/>
  <c r="V40" i="5"/>
  <c r="U40" i="5"/>
  <c r="T40" i="5"/>
  <c r="S40" i="5"/>
  <c r="R40" i="5"/>
  <c r="Q40" i="5"/>
  <c r="P40" i="5"/>
  <c r="O40" i="5"/>
  <c r="N40" i="5"/>
  <c r="W39" i="5"/>
  <c r="V39" i="5"/>
  <c r="U39" i="5"/>
  <c r="T39" i="5"/>
  <c r="S39" i="5"/>
  <c r="R39" i="5"/>
  <c r="Q39" i="5"/>
  <c r="P39" i="5"/>
  <c r="O39" i="5"/>
  <c r="N39" i="5"/>
  <c r="W38" i="5"/>
  <c r="V38" i="5"/>
  <c r="U38" i="5"/>
  <c r="T38" i="5"/>
  <c r="S38" i="5"/>
  <c r="R38" i="5"/>
  <c r="Q38" i="5"/>
  <c r="P38" i="5"/>
  <c r="O38" i="5"/>
  <c r="N38" i="5"/>
  <c r="W37" i="5"/>
  <c r="V37" i="5"/>
  <c r="U37" i="5"/>
  <c r="T37" i="5"/>
  <c r="S37" i="5"/>
  <c r="R37" i="5"/>
  <c r="Q37" i="5"/>
  <c r="P37" i="5"/>
  <c r="O37" i="5"/>
  <c r="N37" i="5"/>
  <c r="W36" i="5"/>
  <c r="V36" i="5"/>
  <c r="U36" i="5"/>
  <c r="T36" i="5"/>
  <c r="S36" i="5"/>
  <c r="R36" i="5"/>
  <c r="Q36" i="5"/>
  <c r="P36" i="5"/>
  <c r="O36" i="5"/>
  <c r="N36" i="5"/>
  <c r="W35" i="5"/>
  <c r="V35" i="5"/>
  <c r="U35" i="5"/>
  <c r="T35" i="5"/>
  <c r="S35" i="5"/>
  <c r="R35" i="5"/>
  <c r="Q35" i="5"/>
  <c r="P35" i="5"/>
  <c r="O35" i="5"/>
  <c r="N35" i="5"/>
  <c r="W34" i="5"/>
  <c r="V34" i="5"/>
  <c r="U34" i="5"/>
  <c r="T34" i="5"/>
  <c r="S34" i="5"/>
  <c r="R34" i="5"/>
  <c r="Q34" i="5"/>
  <c r="P34" i="5"/>
  <c r="O34" i="5"/>
  <c r="N34" i="5"/>
  <c r="W33" i="5"/>
  <c r="V33" i="5"/>
  <c r="U33" i="5"/>
  <c r="T33" i="5"/>
  <c r="S33" i="5"/>
  <c r="R33" i="5"/>
  <c r="Q33" i="5"/>
  <c r="P33" i="5"/>
  <c r="O33" i="5"/>
  <c r="N33" i="5"/>
  <c r="W32" i="5"/>
  <c r="V32" i="5"/>
  <c r="U32" i="5"/>
  <c r="T32" i="5"/>
  <c r="S32" i="5"/>
  <c r="R32" i="5"/>
  <c r="Q32" i="5"/>
  <c r="P32" i="5"/>
  <c r="O32" i="5"/>
  <c r="N32" i="5"/>
  <c r="W31" i="5"/>
  <c r="V31" i="5"/>
  <c r="U31" i="5"/>
  <c r="T31" i="5"/>
  <c r="S31" i="5"/>
  <c r="R31" i="5"/>
  <c r="Q31" i="5"/>
  <c r="P31" i="5"/>
  <c r="O31" i="5"/>
  <c r="N31" i="5"/>
  <c r="W30" i="5"/>
  <c r="V30" i="5"/>
  <c r="U30" i="5"/>
  <c r="T30" i="5"/>
  <c r="S30" i="5"/>
  <c r="R30" i="5"/>
  <c r="Q30" i="5"/>
  <c r="P30" i="5"/>
  <c r="O30" i="5"/>
  <c r="N30" i="5"/>
  <c r="W29" i="5"/>
  <c r="V29" i="5"/>
  <c r="U29" i="5"/>
  <c r="T29" i="5"/>
  <c r="S29" i="5"/>
  <c r="R29" i="5"/>
  <c r="Q29" i="5"/>
  <c r="P29" i="5"/>
  <c r="O29" i="5"/>
  <c r="N29" i="5"/>
  <c r="W28" i="5"/>
  <c r="V28" i="5"/>
  <c r="U28" i="5"/>
  <c r="T28" i="5"/>
  <c r="S28" i="5"/>
  <c r="R28" i="5"/>
  <c r="Q28" i="5"/>
  <c r="P28" i="5"/>
  <c r="O28" i="5"/>
  <c r="N28" i="5"/>
  <c r="W27" i="5"/>
  <c r="V27" i="5"/>
  <c r="U27" i="5"/>
  <c r="T27" i="5"/>
  <c r="S27" i="5"/>
  <c r="R27" i="5"/>
  <c r="Q27" i="5"/>
  <c r="P27" i="5"/>
  <c r="O27" i="5"/>
  <c r="N27" i="5"/>
  <c r="W26" i="5"/>
  <c r="V26" i="5"/>
  <c r="U26" i="5"/>
  <c r="T26" i="5"/>
  <c r="S26" i="5"/>
  <c r="R26" i="5"/>
  <c r="Q26" i="5"/>
  <c r="P26" i="5"/>
  <c r="O26" i="5"/>
  <c r="N26" i="5"/>
  <c r="W25" i="5"/>
  <c r="V25" i="5"/>
  <c r="U25" i="5"/>
  <c r="T25" i="5"/>
  <c r="S25" i="5"/>
  <c r="R25" i="5"/>
  <c r="Q25" i="5"/>
  <c r="P25" i="5"/>
  <c r="O25" i="5"/>
  <c r="N25" i="5"/>
  <c r="W24" i="5"/>
  <c r="V24" i="5"/>
  <c r="U24" i="5"/>
  <c r="T24" i="5"/>
  <c r="S24" i="5"/>
  <c r="R24" i="5"/>
  <c r="Q24" i="5"/>
  <c r="P24" i="5"/>
  <c r="O24" i="5"/>
  <c r="N24" i="5"/>
  <c r="W23" i="5"/>
  <c r="V23" i="5"/>
  <c r="U23" i="5"/>
  <c r="T23" i="5"/>
  <c r="S23" i="5"/>
  <c r="R23" i="5"/>
  <c r="R4" i="5" s="1"/>
  <c r="Q23" i="5"/>
  <c r="Q4" i="5" s="1"/>
  <c r="P23" i="5"/>
  <c r="P4" i="5" s="1"/>
  <c r="O23" i="5"/>
  <c r="O4" i="5" s="1"/>
  <c r="N23" i="5"/>
  <c r="N4" i="5" s="1"/>
  <c r="W22" i="5"/>
  <c r="V22" i="5"/>
  <c r="U22" i="5"/>
  <c r="T22" i="5"/>
  <c r="S22" i="5"/>
  <c r="S4" i="5" s="1"/>
  <c r="R22" i="5"/>
  <c r="Q22" i="5"/>
  <c r="P22" i="5"/>
  <c r="O22" i="5"/>
  <c r="N22" i="5"/>
  <c r="W21" i="5"/>
  <c r="V21" i="5"/>
  <c r="U21" i="5"/>
  <c r="T21" i="5"/>
  <c r="S21" i="5"/>
  <c r="R21" i="5"/>
  <c r="Q21" i="5"/>
  <c r="P21" i="5"/>
  <c r="O21" i="5"/>
  <c r="N21" i="5"/>
  <c r="W20" i="5"/>
  <c r="V20" i="5"/>
  <c r="U20" i="5"/>
  <c r="T20" i="5"/>
  <c r="S20" i="5"/>
  <c r="R20" i="5"/>
  <c r="Q20" i="5"/>
  <c r="P20" i="5"/>
  <c r="O20" i="5"/>
  <c r="N20" i="5"/>
  <c r="W19" i="5"/>
  <c r="V19" i="5"/>
  <c r="U19" i="5"/>
  <c r="T19" i="5"/>
  <c r="S19" i="5"/>
  <c r="R19" i="5"/>
  <c r="Q19" i="5"/>
  <c r="P19" i="5"/>
  <c r="O19" i="5"/>
  <c r="N19" i="5"/>
  <c r="W18" i="5"/>
  <c r="V18" i="5"/>
  <c r="U18" i="5"/>
  <c r="T18" i="5"/>
  <c r="S18" i="5"/>
  <c r="R18" i="5"/>
  <c r="Q18" i="5"/>
  <c r="P18" i="5"/>
  <c r="O18" i="5"/>
  <c r="N18" i="5"/>
  <c r="W17" i="5"/>
  <c r="V17" i="5"/>
  <c r="U17" i="5"/>
  <c r="T17" i="5"/>
  <c r="S17" i="5"/>
  <c r="R17" i="5"/>
  <c r="Q17" i="5"/>
  <c r="P17" i="5"/>
  <c r="O17" i="5"/>
  <c r="N17" i="5"/>
  <c r="W16" i="5"/>
  <c r="V16" i="5"/>
  <c r="U16" i="5"/>
  <c r="T16" i="5"/>
  <c r="S16" i="5"/>
  <c r="R16" i="5"/>
  <c r="Q16" i="5"/>
  <c r="P16" i="5"/>
  <c r="O16" i="5"/>
  <c r="N16" i="5"/>
  <c r="W15" i="5"/>
  <c r="V15" i="5"/>
  <c r="U15" i="5"/>
  <c r="T15" i="5"/>
  <c r="S15" i="5"/>
  <c r="R15" i="5"/>
  <c r="Q15" i="5"/>
  <c r="P15" i="5"/>
  <c r="O15" i="5"/>
  <c r="N15" i="5"/>
  <c r="W14" i="5"/>
  <c r="V14" i="5"/>
  <c r="U14" i="5"/>
  <c r="T14" i="5"/>
  <c r="S14" i="5"/>
  <c r="R14" i="5"/>
  <c r="Q14" i="5"/>
  <c r="P14" i="5"/>
  <c r="O14" i="5"/>
  <c r="N14" i="5"/>
  <c r="W13" i="5"/>
  <c r="V13" i="5"/>
  <c r="U13" i="5"/>
  <c r="T13" i="5"/>
  <c r="S13" i="5"/>
  <c r="R13" i="5"/>
  <c r="Q13" i="5"/>
  <c r="P13" i="5"/>
  <c r="O13" i="5"/>
  <c r="N13" i="5"/>
  <c r="S12" i="5"/>
  <c r="R12" i="5"/>
  <c r="Q12" i="5"/>
  <c r="P12" i="5"/>
  <c r="O12" i="5"/>
  <c r="N12" i="5"/>
  <c r="T12" i="5" s="1"/>
  <c r="U12" i="5" s="1"/>
  <c r="V12" i="5" s="1"/>
  <c r="W12" i="5" s="1"/>
  <c r="S11" i="5"/>
  <c r="R11" i="5"/>
  <c r="Q11" i="5"/>
  <c r="P11" i="5"/>
  <c r="O11" i="5"/>
  <c r="N11" i="5"/>
  <c r="T11" i="5" s="1"/>
  <c r="U11" i="5" s="1"/>
  <c r="V11" i="5" s="1"/>
  <c r="W11" i="5" s="1"/>
  <c r="S10" i="5"/>
  <c r="R10" i="5"/>
  <c r="Q10" i="5"/>
  <c r="P10" i="5"/>
  <c r="O10" i="5"/>
  <c r="N10" i="5"/>
  <c r="T10" i="5" s="1"/>
  <c r="U10" i="5" s="1"/>
  <c r="V10" i="5" s="1"/>
  <c r="W10" i="5" s="1"/>
  <c r="S9" i="5"/>
  <c r="R9" i="5"/>
  <c r="Q9" i="5"/>
  <c r="P9" i="5"/>
  <c r="O9" i="5"/>
  <c r="N9" i="5"/>
  <c r="T9" i="5" s="1"/>
  <c r="U9" i="5" s="1"/>
  <c r="V9" i="5" s="1"/>
  <c r="W9" i="5" s="1"/>
  <c r="S8" i="5"/>
  <c r="R8" i="5"/>
  <c r="Q8" i="5"/>
  <c r="P8" i="5"/>
  <c r="O8" i="5"/>
  <c r="N8" i="5"/>
  <c r="T8" i="5" s="1"/>
  <c r="U8" i="5" s="1"/>
  <c r="V8" i="5" s="1"/>
  <c r="W8" i="5" s="1"/>
  <c r="S7" i="5"/>
  <c r="R7" i="5"/>
  <c r="Q7" i="5"/>
  <c r="P7" i="5"/>
  <c r="O7" i="5"/>
  <c r="N7" i="5"/>
  <c r="T7" i="5" s="1"/>
  <c r="D4" i="5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8" i="4"/>
  <c r="C97" i="4"/>
  <c r="C92" i="4"/>
  <c r="B87" i="4"/>
  <c r="B86" i="4"/>
  <c r="C84" i="4"/>
  <c r="C80" i="4"/>
  <c r="C79" i="4" s="1"/>
  <c r="C96" i="4" s="1"/>
  <c r="G10" i="2" s="1"/>
  <c r="C71" i="4"/>
  <c r="C70" i="4"/>
  <c r="C69" i="4"/>
  <c r="C68" i="4"/>
  <c r="C67" i="4"/>
  <c r="C66" i="4"/>
  <c r="C65" i="4"/>
  <c r="C64" i="4"/>
  <c r="C93" i="4" s="1"/>
  <c r="B62" i="4"/>
  <c r="B58" i="4"/>
  <c r="B57" i="4"/>
  <c r="B54" i="4"/>
  <c r="B53" i="4"/>
  <c r="B17" i="4"/>
  <c r="B16" i="4"/>
  <c r="B15" i="4"/>
  <c r="B14" i="4"/>
  <c r="B13" i="4"/>
  <c r="B12" i="4"/>
  <c r="B11" i="4"/>
  <c r="B10" i="4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F6" i="3"/>
  <c r="E6" i="3"/>
  <c r="D6" i="3"/>
  <c r="C6" i="3"/>
  <c r="B6" i="3"/>
  <c r="C38" i="2"/>
  <c r="A30" i="2"/>
  <c r="A29" i="2"/>
  <c r="A28" i="2"/>
  <c r="A27" i="2"/>
  <c r="A26" i="2"/>
  <c r="A25" i="2"/>
  <c r="A24" i="2"/>
  <c r="A23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B10" i="2"/>
  <c r="B18" i="2" s="1"/>
  <c r="C42" i="2" s="1"/>
  <c r="D42" i="2" s="1"/>
  <c r="G42" i="2" s="1"/>
  <c r="G3" i="2"/>
  <c r="U7" i="5" l="1"/>
  <c r="V7" i="5" s="1"/>
  <c r="W7" i="5" s="1"/>
  <c r="T4" i="5"/>
  <c r="C72" i="4"/>
  <c r="C95" i="4" s="1"/>
  <c r="C75" i="4"/>
  <c r="C76" i="4"/>
  <c r="C77" i="4"/>
  <c r="C73" i="4"/>
  <c r="C94" i="4" s="1"/>
  <c r="C74" i="4"/>
  <c r="I10" i="2"/>
  <c r="I18" i="2" s="1"/>
  <c r="K39" i="2"/>
  <c r="K10" i="2"/>
  <c r="K18" i="2" s="1"/>
  <c r="G18" i="2"/>
  <c r="C10" i="2"/>
  <c r="H30" i="2"/>
  <c r="S30" i="2"/>
  <c r="N30" i="2"/>
  <c r="C30" i="2"/>
  <c r="T30" i="2"/>
  <c r="D30" i="2"/>
  <c r="F30" i="2"/>
  <c r="P30" i="2"/>
  <c r="V30" i="2"/>
  <c r="X30" i="2"/>
  <c r="U30" i="2"/>
  <c r="E30" i="2"/>
  <c r="W30" i="2"/>
  <c r="Y30" i="2"/>
  <c r="R30" i="2"/>
  <c r="G30" i="2"/>
  <c r="Q30" i="2"/>
  <c r="O30" i="2"/>
  <c r="B30" i="2"/>
  <c r="Y29" i="2"/>
  <c r="U29" i="2"/>
  <c r="Q29" i="2"/>
  <c r="B29" i="2"/>
  <c r="T29" i="2"/>
  <c r="R29" i="2"/>
  <c r="D29" i="2"/>
  <c r="P29" i="2"/>
  <c r="C29" i="2"/>
  <c r="X29" i="2"/>
  <c r="S29" i="2"/>
  <c r="G29" i="2"/>
  <c r="N29" i="2"/>
  <c r="H29" i="2"/>
  <c r="W29" i="2"/>
  <c r="E29" i="2"/>
  <c r="V29" i="2"/>
  <c r="O29" i="2"/>
  <c r="F29" i="2"/>
  <c r="N28" i="2"/>
  <c r="E28" i="2"/>
  <c r="G28" i="2"/>
  <c r="F28" i="2"/>
  <c r="H28" i="2"/>
  <c r="R28" i="2"/>
  <c r="U28" i="2"/>
  <c r="X28" i="2"/>
  <c r="S28" i="2"/>
  <c r="Y28" i="2"/>
  <c r="T28" i="2"/>
  <c r="V28" i="2"/>
  <c r="O28" i="2"/>
  <c r="D28" i="2"/>
  <c r="B28" i="2"/>
  <c r="Q28" i="2"/>
  <c r="W28" i="2"/>
  <c r="P28" i="2"/>
  <c r="C28" i="2"/>
  <c r="O27" i="2"/>
  <c r="G27" i="2"/>
  <c r="C27" i="2"/>
  <c r="P27" i="2"/>
  <c r="F27" i="2"/>
  <c r="Y27" i="2"/>
  <c r="T27" i="2"/>
  <c r="R27" i="2"/>
  <c r="H27" i="2"/>
  <c r="X27" i="2"/>
  <c r="U27" i="2"/>
  <c r="Q27" i="2"/>
  <c r="V27" i="2"/>
  <c r="S27" i="2"/>
  <c r="D27" i="2"/>
  <c r="W27" i="2"/>
  <c r="E27" i="2"/>
  <c r="B27" i="2"/>
  <c r="N27" i="2"/>
  <c r="D26" i="2"/>
  <c r="S26" i="2"/>
  <c r="F26" i="2"/>
  <c r="X26" i="2"/>
  <c r="R26" i="2"/>
  <c r="P26" i="2"/>
  <c r="B26" i="2"/>
  <c r="W26" i="2"/>
  <c r="V26" i="2"/>
  <c r="Y26" i="2"/>
  <c r="O26" i="2"/>
  <c r="E26" i="2"/>
  <c r="U26" i="2"/>
  <c r="H26" i="2"/>
  <c r="T26" i="2"/>
  <c r="Q26" i="2"/>
  <c r="N26" i="2"/>
  <c r="G26" i="2"/>
  <c r="C26" i="2"/>
  <c r="P25" i="2"/>
  <c r="H25" i="2"/>
  <c r="C25" i="2"/>
  <c r="O25" i="2"/>
  <c r="X25" i="2"/>
  <c r="R25" i="2"/>
  <c r="E25" i="2"/>
  <c r="F25" i="2"/>
  <c r="S25" i="2"/>
  <c r="N25" i="2"/>
  <c r="B25" i="2"/>
  <c r="U25" i="2"/>
  <c r="D25" i="2"/>
  <c r="G25" i="2"/>
  <c r="T25" i="2"/>
  <c r="V25" i="2"/>
  <c r="Y25" i="2"/>
  <c r="W25" i="2"/>
  <c r="Q25" i="2"/>
  <c r="B24" i="2"/>
  <c r="R24" i="2"/>
  <c r="N24" i="2"/>
  <c r="V24" i="2"/>
  <c r="W24" i="2"/>
  <c r="T24" i="2"/>
  <c r="Q24" i="2"/>
  <c r="H24" i="2"/>
  <c r="F24" i="2"/>
  <c r="C24" i="2"/>
  <c r="X24" i="2"/>
  <c r="P24" i="2"/>
  <c r="D24" i="2"/>
  <c r="Y24" i="2"/>
  <c r="O24" i="2"/>
  <c r="G24" i="2"/>
  <c r="U24" i="2"/>
  <c r="S24" i="2"/>
  <c r="E24" i="2"/>
  <c r="F23" i="2"/>
  <c r="C23" i="2"/>
  <c r="O23" i="2" s="1"/>
  <c r="H23" i="2"/>
  <c r="R23" i="2"/>
  <c r="F50" i="2" s="1"/>
  <c r="G50" i="2" s="1"/>
  <c r="C49" i="2"/>
  <c r="G23" i="2"/>
  <c r="C47" i="2"/>
  <c r="B23" i="2"/>
  <c r="C50" i="2"/>
  <c r="D23" i="2"/>
  <c r="E23" i="2"/>
  <c r="Q23" i="2"/>
  <c r="E10" i="2" l="1"/>
  <c r="H10" i="2" s="1"/>
  <c r="H18" i="2" s="1"/>
  <c r="F10" i="2"/>
  <c r="J10" i="2" s="1"/>
  <c r="C78" i="4"/>
  <c r="C81" i="4" s="1"/>
  <c r="C85" i="4" s="1"/>
  <c r="C82" i="4"/>
  <c r="C18" i="2"/>
  <c r="K35" i="2"/>
  <c r="E49" i="2"/>
  <c r="D49" i="2"/>
  <c r="D47" i="2"/>
  <c r="E50" i="2"/>
  <c r="D50" i="2"/>
  <c r="R31" i="2"/>
  <c r="E31" i="2"/>
  <c r="H31" i="2"/>
  <c r="D31" i="2"/>
  <c r="F31" i="2"/>
  <c r="C31" i="2"/>
  <c r="G31" i="2"/>
  <c r="D10" i="2"/>
  <c r="C99" i="4"/>
  <c r="G6" i="3" s="1"/>
  <c r="F47" i="2"/>
  <c r="O31" i="2"/>
  <c r="C51" i="2"/>
  <c r="U23" i="2"/>
  <c r="U31" i="2" s="1"/>
  <c r="K41" i="2" s="1"/>
  <c r="C36" i="2" s="1"/>
  <c r="S23" i="2"/>
  <c r="B31" i="2"/>
  <c r="T23" i="2"/>
  <c r="T31" i="2" s="1"/>
  <c r="K40" i="2" s="1"/>
  <c r="N23" i="2"/>
  <c r="C46" i="2"/>
  <c r="P23" i="2"/>
  <c r="C48" i="2"/>
  <c r="Q31" i="2"/>
  <c r="F49" i="2"/>
  <c r="G49" i="2" s="1"/>
  <c r="K37" i="2" l="1"/>
  <c r="E18" i="2"/>
  <c r="F18" i="2"/>
  <c r="K38" i="2"/>
  <c r="C86" i="4"/>
  <c r="H6" i="3"/>
  <c r="D36" i="2"/>
  <c r="J18" i="2"/>
  <c r="L10" i="2"/>
  <c r="D18" i="2"/>
  <c r="K36" i="2"/>
  <c r="D51" i="2"/>
  <c r="W23" i="2"/>
  <c r="W31" i="2" s="1"/>
  <c r="K43" i="2" s="1"/>
  <c r="G36" i="2" s="1"/>
  <c r="F51" i="2"/>
  <c r="S31" i="2"/>
  <c r="V23" i="2"/>
  <c r="F46" i="2"/>
  <c r="E46" i="2" s="1"/>
  <c r="N31" i="2"/>
  <c r="C52" i="2"/>
  <c r="D46" i="2"/>
  <c r="D52" i="2" s="1"/>
  <c r="F48" i="2"/>
  <c r="G48" i="2" s="1"/>
  <c r="P31" i="2"/>
  <c r="D48" i="2"/>
  <c r="E48" i="2"/>
  <c r="C83" i="4"/>
  <c r="I6" i="3" s="1"/>
  <c r="G47" i="2"/>
  <c r="E47" i="2"/>
  <c r="C87" i="4" l="1"/>
  <c r="C88" i="4" s="1"/>
  <c r="J6" i="3"/>
  <c r="M10" i="2"/>
  <c r="L18" i="2"/>
  <c r="X23" i="2"/>
  <c r="V31" i="2"/>
  <c r="K42" i="2" s="1"/>
  <c r="F52" i="2"/>
  <c r="G46" i="2"/>
  <c r="G52" i="2" s="1"/>
  <c r="G35" i="2"/>
  <c r="C35" i="2"/>
  <c r="F36" i="2"/>
  <c r="E36" i="2"/>
  <c r="G51" i="2"/>
  <c r="E51" i="2"/>
  <c r="C90" i="4" l="1"/>
  <c r="M6" i="3" s="1"/>
  <c r="K6" i="3"/>
  <c r="C89" i="4"/>
  <c r="L6" i="3" s="1"/>
  <c r="Y23" i="2"/>
  <c r="X31" i="2"/>
  <c r="E52" i="2"/>
  <c r="F53" i="2"/>
  <c r="G37" i="2"/>
  <c r="F35" i="2"/>
  <c r="C37" i="2"/>
  <c r="D35" i="2"/>
  <c r="E35" i="2"/>
  <c r="G39" i="2" l="1"/>
  <c r="G40" i="2" s="1"/>
  <c r="F37" i="2"/>
  <c r="E37" i="2"/>
  <c r="D37" i="2"/>
</calcChain>
</file>

<file path=xl/sharedStrings.xml><?xml version="1.0" encoding="utf-8"?>
<sst xmlns="http://schemas.openxmlformats.org/spreadsheetml/2006/main" count="584" uniqueCount="456">
  <si>
    <t>Estimación de cargas eléctricas · Relación de cargas completa</t>
  </si>
  <si>
    <t>Proyecto</t>
  </si>
  <si>
    <t>Perfil activo:</t>
  </si>
  <si>
    <t>Ubicación</t>
  </si>
  <si>
    <t>Fecha</t>
  </si>
  <si>
    <t>Elaboró</t>
  </si>
  <si>
    <t>VIVIENDAS POR SECTOR (escriba los nombres de sector en la columna A; se usan en las demás hojas)</t>
  </si>
  <si>
    <t>Sector</t>
  </si>
  <si>
    <t>N.º viviendas</t>
  </si>
  <si>
    <t>Alumbr. y contactos [kVA]*</t>
  </si>
  <si>
    <t>Aparatos y esp. [kVA]*</t>
  </si>
  <si>
    <t>Cocinas [kVA]*</t>
  </si>
  <si>
    <t>N.º de cocinas*</t>
  </si>
  <si>
    <t>A/A [kVA]*</t>
  </si>
  <si>
    <t>C.I. alumbrado y contactos [kVA]</t>
  </si>
  <si>
    <t>C.I. A/A [kVA]</t>
  </si>
  <si>
    <t>C.D. alumbrado y contactos [kVA]</t>
  </si>
  <si>
    <t>C.D. A/A [kVA]</t>
  </si>
  <si>
    <t>C.D. total [kVA]</t>
  </si>
  <si>
    <t>Transformador mínimo</t>
  </si>
  <si>
    <t>Captura manual: C.I. alumbrado/contactos [kVA]</t>
  </si>
  <si>
    <t>Captura manual: C.I. A/A [kVA]</t>
  </si>
  <si>
    <t>Sector A</t>
  </si>
  <si>
    <t>TOTAL</t>
  </si>
  <si>
    <t>* Columnas auxiliares del cálculo. Para sectores que solo se conocen por totales use las columnas N y O.</t>
  </si>
  <si>
    <t>SERVICIOS POR SECTOR (factores de demanda: vacío = valor por defecto del perfil)</t>
  </si>
  <si>
    <t>Alumbrado C.I. [kVA]</t>
  </si>
  <si>
    <t>Contactos UPS C.I. [kVA]</t>
  </si>
  <si>
    <t>Contactos C.I. [kVA]</t>
  </si>
  <si>
    <t>Equipos C.I. [kVA]</t>
  </si>
  <si>
    <t>Especiales C.I. [kVA]</t>
  </si>
  <si>
    <t>Elevadores C.I. [kVA]</t>
  </si>
  <si>
    <t>A/A C.I. [kVA]</t>
  </si>
  <si>
    <t>F.D. alumbrado</t>
  </si>
  <si>
    <t>F.D. contactos (si no 220.44)</t>
  </si>
  <si>
    <t>F.D. equipos</t>
  </si>
  <si>
    <t>F.D. especiales</t>
  </si>
  <si>
    <t>F.D. A/A</t>
  </si>
  <si>
    <t>Alumbrado C.D.</t>
  </si>
  <si>
    <t>Contactos C.D.</t>
  </si>
  <si>
    <t>Equipos C.D.</t>
  </si>
  <si>
    <t>Especiales C.D.</t>
  </si>
  <si>
    <t>Elevadores C.D.</t>
  </si>
  <si>
    <t>A/A C.D.</t>
  </si>
  <si>
    <t>C.I. alumbrado, contactos y equipos</t>
  </si>
  <si>
    <t>C.I. A/A</t>
  </si>
  <si>
    <t>C.D. alumbrado, contactos y equipos</t>
  </si>
  <si>
    <t>C.D. A/A</t>
  </si>
  <si>
    <t>RELACIÓN DE CARGAS COMPLETA DEL PROYECTO</t>
  </si>
  <si>
    <t>Tipo de carga</t>
  </si>
  <si>
    <t>Referencia</t>
  </si>
  <si>
    <t>C.I. [kVA]</t>
  </si>
  <si>
    <t>C.I. [kW]</t>
  </si>
  <si>
    <t>F.D.</t>
  </si>
  <si>
    <t>C.D. [kW]</t>
  </si>
  <si>
    <t>C.D. [kVA]</t>
  </si>
  <si>
    <t>Auxiliares del proyecto (kVA)</t>
  </si>
  <si>
    <t>Alumbrado y contactos</t>
  </si>
  <si>
    <t>Tabla 220.42 / 220.44</t>
  </si>
  <si>
    <t>Σ alumbrado y contactos de viviendas</t>
  </si>
  <si>
    <t>A/A (HVAC)</t>
  </si>
  <si>
    <t>220.60 / 430.26</t>
  </si>
  <si>
    <t>Σ aparatos y especiales de viviendas</t>
  </si>
  <si>
    <t>Σ cocinas (kVA)</t>
  </si>
  <si>
    <t>Factor de coincidencia entre sectores</t>
  </si>
  <si>
    <t>N.º de viviendas con cocina</t>
  </si>
  <si>
    <t>Demanda coincidente [kVA]</t>
  </si>
  <si>
    <t>Σ A/A de viviendas</t>
  </si>
  <si>
    <t>Transformación mínima</t>
  </si>
  <si>
    <t>C.I. alumbrado, contactos y equipos de servicios</t>
  </si>
  <si>
    <t>Alternativa multifamiliar 220.84:</t>
  </si>
  <si>
    <t>No</t>
  </si>
  <si>
    <t>← todas las viviendas con cocina eléctrica y A/A o calefacción</t>
  </si>
  <si>
    <t>C.I. A/A de servicios</t>
  </si>
  <si>
    <t>Viviendas / factor / C.D. [kVA]</t>
  </si>
  <si>
    <t>C.D. servicios (alumbrado, contactos, equipos)</t>
  </si>
  <si>
    <t>CUADRO DE CARGAS DE SERVICIOS DE UN SECTOR</t>
  </si>
  <si>
    <t>C.D. servicios A/A</t>
  </si>
  <si>
    <t>Sector:</t>
  </si>
  <si>
    <t>Norma</t>
  </si>
  <si>
    <t>Alumbrado</t>
  </si>
  <si>
    <t>Tabla 220.12 / 220.42</t>
  </si>
  <si>
    <t>Contactos (generales y UPS)</t>
  </si>
  <si>
    <t>Tabla 220.44</t>
  </si>
  <si>
    <t>Equipos</t>
  </si>
  <si>
    <t>430.24 / 430.26</t>
  </si>
  <si>
    <t>Equipos especiales</t>
  </si>
  <si>
    <t>220.50 / placa</t>
  </si>
  <si>
    <t>Elevadores</t>
  </si>
  <si>
    <t>620.14</t>
  </si>
  <si>
    <t>Fuerza (sistema de A/A)</t>
  </si>
  <si>
    <t>Transformador mínimo del sector</t>
  </si>
  <si>
    <t>Estimación de cargas eléctricas · NEC 2020 (Costa Rica)</t>
  </si>
  <si>
    <t>Qué hace: el mismo cálculo de la herramienta web (viviendas, servicios, elevadores, relación completa y transformador), con fórmulas y macros.</t>
  </si>
  <si>
    <t>Hojas</t>
  </si>
  <si>
    <t xml:space="preserve">  Resumen · datos del proyecto, sectores, viviendas y servicios por sector, relación de cargas completa del proyecto y cuadro de servicios.</t>
  </si>
  <si>
    <t xml:space="preserve">  Departamentos · lista de viviendas con resultados. Doble clic en el nombre abre su caja en "Viviendas".</t>
  </si>
  <si>
    <t xml:space="preserve">  Viviendas · una columna por vivienda o tipo: cargas generales, dos listas de dispositivos (20 al 100 % y 12 con factor 220.53), HVAC, factor de diversidad y alimentador (OCPD y conductor). Doble clic en el nombre abre la caja.</t>
  </si>
  <si>
    <t xml:space="preserve">  Servicios · un renglón por espacio: área × % × densidades (VA/m²) por tipo de espacio, equipos y especiales.</t>
  </si>
  <si>
    <t xml:space="preserve">  Elevadores · HP, cantidad y factor de la Tabla 620.14.</t>
  </si>
  <si>
    <t xml:space="preserve">  Parametros · perfil activo (NEC 2020, 2023, 2026, LUAH, Excel original o Personalizado), factores y tablas editables, catálogo de dispositivos y tipos de espacio.</t>
  </si>
  <si>
    <t>Cómo usarlo</t>
  </si>
  <si>
    <t xml:space="preserve">  1. En Parametros elija el perfil. Celdas verdes = datos; grises = fórmulas.</t>
  </si>
  <si>
    <t xml:space="preserve">  2. En Resumen escriba el nombre de los sectores (columna A, filas de sectores) y los datos del proyecto.</t>
  </si>
  <si>
    <t xml:space="preserve">  3. En Viviendas llene la columna C (Tipo A de ejemplo). Para otra vivienda pulse "Agregar vivienda" (copia la última columna).</t>
  </si>
  <si>
    <t xml:space="preserve">  4. En Servicios y Elevadores agregue sus espacios y elevadores eligiendo el sector.</t>
  </si>
  <si>
    <t xml:space="preserve">  5. Revise el resultado en Resumen. "Exportar PDF" guarda la relación completa.</t>
  </si>
  <si>
    <t>Avisos</t>
  </si>
  <si>
    <t xml:space="preserve">  Los valores de NEC 2026 y de ASHRAE son referencias por verificar contra el texto oficial. Resultados preliminares.</t>
  </si>
  <si>
    <t xml:space="preserve">  Las tablas 220.44, 620.14, 220.55 y 220.84 están escritas de memoria: confírmelas con su ejemplar del NEC 2020.</t>
  </si>
  <si>
    <t xml:space="preserve">  Sin habilitar macros todo el cálculo funciona igual; las macros solo agregan columnas, navegación y exportar PDF.</t>
  </si>
  <si>
    <t>Viviendas · lista resumen</t>
  </si>
  <si>
    <t>Doble clic en el nombre de una vivienda (columna D) para abrir su caja de cargas y dispositivos en la hoja "Viviendas".</t>
  </si>
  <si>
    <t>#</t>
  </si>
  <si>
    <t>Nivel / tipo</t>
  </si>
  <si>
    <t>Vivienda</t>
  </si>
  <si>
    <t>Cantidad</t>
  </si>
  <si>
    <t>Área [m²]</t>
  </si>
  <si>
    <t>F. de uso</t>
  </si>
  <si>
    <t>Amperios</t>
  </si>
  <si>
    <t>OCPD [A]</t>
  </si>
  <si>
    <t>Cu</t>
  </si>
  <si>
    <t>Al</t>
  </si>
  <si>
    <t>Cargas por vivienda · una columna por vivienda o tipo (botón "Agregar vivienda" en Departamentos, o copie la última columna hacia la derecha)</t>
  </si>
  <si>
    <t>Celdas verdes = datos. En cargas generales y HVAC, vacío = valor por defecto (columna B). Dispositivos: elija de la lista; si hay alguno, sustituyen cocina, calentador, aparatos y especiales de las columnas.</t>
  </si>
  <si>
    <t>Por defecto</t>
  </si>
  <si>
    <t>1</t>
  </si>
  <si>
    <t>Tablero TP</t>
  </si>
  <si>
    <t>Cantidad de viviendas iguales</t>
  </si>
  <si>
    <t>Incluir en totales (Sí/No)</t>
  </si>
  <si>
    <t>CARGAS GENERALES (vacío = por defecto)</t>
  </si>
  <si>
    <t>Alumbrado [VA/m²]</t>
  </si>
  <si>
    <t>Tomacorrientes de uso general [VA/m²]</t>
  </si>
  <si>
    <t>Tomacorrientes exteriores [VA/m²]</t>
  </si>
  <si>
    <t>Circuitos de cocina (aparatos pequeños) [VA]</t>
  </si>
  <si>
    <t>Circuito de lavandería [VA]</t>
  </si>
  <si>
    <t>Circuito de baños [VA]</t>
  </si>
  <si>
    <t>Circuito gabinete telecom [VA]</t>
  </si>
  <si>
    <t>Circuito detectores [VA]</t>
  </si>
  <si>
    <t>OTROS DISPOSITIVOS (lista de selección, se suman al 100 %)</t>
  </si>
  <si>
    <t>Dispositivo 1</t>
  </si>
  <si>
    <t>Refrig</t>
  </si>
  <si>
    <t>Dispositivo 2</t>
  </si>
  <si>
    <t>Triturador</t>
  </si>
  <si>
    <t>Dispositivo 3</t>
  </si>
  <si>
    <t>Lavaplatos</t>
  </si>
  <si>
    <t>Dispositivo 4</t>
  </si>
  <si>
    <t>Microondas</t>
  </si>
  <si>
    <t>Dispositivo 5</t>
  </si>
  <si>
    <t>Cocina</t>
  </si>
  <si>
    <t>Dispositivo 6</t>
  </si>
  <si>
    <t>Secadora</t>
  </si>
  <si>
    <t>Dispositivo 7</t>
  </si>
  <si>
    <t>Dispositivo 8</t>
  </si>
  <si>
    <t>Dispositivo 9</t>
  </si>
  <si>
    <t>Dispositivo 10</t>
  </si>
  <si>
    <t>Dispositivo 11</t>
  </si>
  <si>
    <t>Dispositivo 12</t>
  </si>
  <si>
    <t>Dispositivo 13</t>
  </si>
  <si>
    <t>Dispositivo 14</t>
  </si>
  <si>
    <t>Dispositivo 15</t>
  </si>
  <si>
    <t>Dispositivo 16</t>
  </si>
  <si>
    <t>Dispositivo 17</t>
  </si>
  <si>
    <t>Dispositivo 18</t>
  </si>
  <si>
    <t>Dispositivo 19</t>
  </si>
  <si>
    <t>Dispositivo 20</t>
  </si>
  <si>
    <t>DISPOSITIVOS CON FACTOR 220.53 (aparatos fijos: 75 % si son 4 o más)</t>
  </si>
  <si>
    <t>Aparato 1 (220.53)</t>
  </si>
  <si>
    <t>Calentador paso 1</t>
  </si>
  <si>
    <t>Aparato 2 (220.53)</t>
  </si>
  <si>
    <t>Aparato 3 (220.53)</t>
  </si>
  <si>
    <t>Aparato 4 (220.53)</t>
  </si>
  <si>
    <t>Aparato 5 (220.53)</t>
  </si>
  <si>
    <t>Aparato 6 (220.53)</t>
  </si>
  <si>
    <t>Aparato 7 (220.53)</t>
  </si>
  <si>
    <t>Aparato 8 (220.53)</t>
  </si>
  <si>
    <t>Aparato 9 (220.53)</t>
  </si>
  <si>
    <t>Aparato 10 (220.53)</t>
  </si>
  <si>
    <t>Aparato 11 (220.53)</t>
  </si>
  <si>
    <t>Aparato 12 (220.53)</t>
  </si>
  <si>
    <t>CARGAS HVAC</t>
  </si>
  <si>
    <t>Condensadoras [VA/m²]</t>
  </si>
  <si>
    <t>Manejadoras [% de condensadoras]</t>
  </si>
  <si>
    <t>Fuerza HVAC manual [VA] (si no hay densidad)</t>
  </si>
  <si>
    <t>SIN LISTA DE DISPOSITIVOS (solo si ambas listas están vacías)</t>
  </si>
  <si>
    <t>Cocina eléctrica [VA]</t>
  </si>
  <si>
    <t>Calentador de agua [VA]</t>
  </si>
  <si>
    <t>Aparatos fijos [VA]</t>
  </si>
  <si>
    <t>Equipos especiales [VA]</t>
  </si>
  <si>
    <t>FACTOR DE DIVERSIDAD</t>
  </si>
  <si>
    <t>Factor de diversidad (vacío = por defecto)</t>
  </si>
  <si>
    <t>RESULTADO</t>
  </si>
  <si>
    <t>Alumbrado [kVA]</t>
  </si>
  <si>
    <t>Tomacorrientes de uso general [kVA]</t>
  </si>
  <si>
    <t>Tomacorrientes exteriores [kVA]</t>
  </si>
  <si>
    <t>Circuitos de cocina [kVA]</t>
  </si>
  <si>
    <t>Circuito de lavandería [kVA]</t>
  </si>
  <si>
    <t>Circuito de baños [kVA]</t>
  </si>
  <si>
    <t>Gabinete telecom [kVA]</t>
  </si>
  <si>
    <t>Detectores [kVA]</t>
  </si>
  <si>
    <t>Cocina eléctrica [kVA]</t>
  </si>
  <si>
    <t>Calentador de agua [kVA]</t>
  </si>
  <si>
    <t>Aparatos fijos [kVA]</t>
  </si>
  <si>
    <t>Equipos especiales [kVA]</t>
  </si>
  <si>
    <t>Aplicación 220.53 [kVA]</t>
  </si>
  <si>
    <t>Sub-total [kVA]</t>
  </si>
  <si>
    <t>Aplicación 220.82(B) [kVA]</t>
  </si>
  <si>
    <t>Manejadoras [kVA]</t>
  </si>
  <si>
    <t>Condensadoras / HVAC [kVA]</t>
  </si>
  <si>
    <t>kVA demanda (antes de diversidad)</t>
  </si>
  <si>
    <t>kVA totales (sub-total + HVAC)</t>
  </si>
  <si>
    <t>F. de diversidad</t>
  </si>
  <si>
    <t>kVA demanda</t>
  </si>
  <si>
    <t>Amperios × factor de protección</t>
  </si>
  <si>
    <t>Calibre cobre</t>
  </si>
  <si>
    <t>Calibre aluminio</t>
  </si>
  <si>
    <t>AUXILIARES DEL CÁLCULO (no modificar)</t>
  </si>
  <si>
    <t>Peso (cantidad si está incluida)</t>
  </si>
  <si>
    <t>Alumbrado y contactos [kVA]</t>
  </si>
  <si>
    <t>Aparatos, calentador y especiales [kVA]</t>
  </si>
  <si>
    <t>Cocinas [kVA]</t>
  </si>
  <si>
    <t>HVAC [kVA]</t>
  </si>
  <si>
    <t>N.º de dispositivos (lista 100 %)</t>
  </si>
  <si>
    <t>N.º de aparatos (lista 220.53)</t>
  </si>
  <si>
    <t>Carga instalada sin factores [kVA]</t>
  </si>
  <si>
    <t>kVA del dispositivo 1</t>
  </si>
  <si>
    <t>kVA del dispositivo 2</t>
  </si>
  <si>
    <t>kVA del dispositivo 3</t>
  </si>
  <si>
    <t>kVA del dispositivo 4</t>
  </si>
  <si>
    <t>kVA del dispositivo 5</t>
  </si>
  <si>
    <t>kVA del dispositivo 6</t>
  </si>
  <si>
    <t>kVA del dispositivo 7</t>
  </si>
  <si>
    <t>kVA del dispositivo 8</t>
  </si>
  <si>
    <t>kVA del dispositivo 9</t>
  </si>
  <si>
    <t>kVA del dispositivo 10</t>
  </si>
  <si>
    <t>kVA del dispositivo 11</t>
  </si>
  <si>
    <t>kVA del dispositivo 12</t>
  </si>
  <si>
    <t>kVA del dispositivo 13</t>
  </si>
  <si>
    <t>kVA del dispositivo 14</t>
  </si>
  <si>
    <t>kVA del dispositivo 15</t>
  </si>
  <si>
    <t>kVA del dispositivo 16</t>
  </si>
  <si>
    <t>kVA del dispositivo 17</t>
  </si>
  <si>
    <t>kVA del dispositivo 18</t>
  </si>
  <si>
    <t>kVA del dispositivo 19</t>
  </si>
  <si>
    <t>kVA del dispositivo 20</t>
  </si>
  <si>
    <t>Categoría del dispositivo 1</t>
  </si>
  <si>
    <t>Categoría del dispositivo 2</t>
  </si>
  <si>
    <t>Categoría del dispositivo 3</t>
  </si>
  <si>
    <t>Categoría del dispositivo 4</t>
  </si>
  <si>
    <t>Categoría del dispositivo 5</t>
  </si>
  <si>
    <t>Categoría del dispositivo 6</t>
  </si>
  <si>
    <t>Categoría del dispositivo 7</t>
  </si>
  <si>
    <t>Categoría del dispositivo 8</t>
  </si>
  <si>
    <t>Categoría del dispositivo 9</t>
  </si>
  <si>
    <t>Categoría del dispositivo 10</t>
  </si>
  <si>
    <t>Categoría del dispositivo 11</t>
  </si>
  <si>
    <t>Categoría del dispositivo 12</t>
  </si>
  <si>
    <t>Categoría del dispositivo 13</t>
  </si>
  <si>
    <t>Categoría del dispositivo 14</t>
  </si>
  <si>
    <t>Categoría del dispositivo 15</t>
  </si>
  <si>
    <t>Categoría del dispositivo 16</t>
  </si>
  <si>
    <t>Categoría del dispositivo 17</t>
  </si>
  <si>
    <t>Categoría del dispositivo 18</t>
  </si>
  <si>
    <t>Categoría del dispositivo 19</t>
  </si>
  <si>
    <t>Categoría del dispositivo 20</t>
  </si>
  <si>
    <t>kVA del aparato 1</t>
  </si>
  <si>
    <t>kVA del aparato 2</t>
  </si>
  <si>
    <t>kVA del aparato 3</t>
  </si>
  <si>
    <t>kVA del aparato 4</t>
  </si>
  <si>
    <t>kVA del aparato 5</t>
  </si>
  <si>
    <t>kVA del aparato 6</t>
  </si>
  <si>
    <t>kVA del aparato 7</t>
  </si>
  <si>
    <t>kVA del aparato 8</t>
  </si>
  <si>
    <t>kVA del aparato 9</t>
  </si>
  <si>
    <t>kVA del aparato 10</t>
  </si>
  <si>
    <t>kVA del aparato 11</t>
  </si>
  <si>
    <t>kVA del aparato 12</t>
  </si>
  <si>
    <t>Categoría del aparato 1</t>
  </si>
  <si>
    <t>Categoría del aparato 2</t>
  </si>
  <si>
    <t>Categoría del aparato 3</t>
  </si>
  <si>
    <t>Categoría del aparato 4</t>
  </si>
  <si>
    <t>Categoría del aparato 5</t>
  </si>
  <si>
    <t>Categoría del aparato 6</t>
  </si>
  <si>
    <t>Categoría del aparato 7</t>
  </si>
  <si>
    <t>Categoría del aparato 8</t>
  </si>
  <si>
    <t>Categoría del aparato 9</t>
  </si>
  <si>
    <t>Categoría del aparato 10</t>
  </si>
  <si>
    <t>Categoría del aparato 11</t>
  </si>
  <si>
    <t>Categoría del aparato 12</t>
  </si>
  <si>
    <t>Servicios · espacios (área × % aplicado × densidades VA/m²) + cargas fijas</t>
  </si>
  <si>
    <t>Una fila por espacio. Elija el tipo de espacio para cargar sus densidades (hoja Parametros); escriba un valor en G:J para sustituirlas. "% aplicado" escala el área (vacío = 100 %). Equipos y especiales en VA. Los elevadores van en la hoja "Elevadores".</t>
  </si>
  <si>
    <t>TOTAL (incluidos)</t>
  </si>
  <si>
    <t>Nivel</t>
  </si>
  <si>
    <t>Espacio / servicio</t>
  </si>
  <si>
    <t>% aplicado</t>
  </si>
  <si>
    <t>Tipo de espacio</t>
  </si>
  <si>
    <t>Contactos UPS [VA/m²]</t>
  </si>
  <si>
    <t>Contactos [VA/m²]</t>
  </si>
  <si>
    <t>HVAC [VA/m²]</t>
  </si>
  <si>
    <t>Equipos [VA]</t>
  </si>
  <si>
    <t>Especiales [VA]</t>
  </si>
  <si>
    <t>Incluir</t>
  </si>
  <si>
    <t>Contactos UPS [kVA]</t>
  </si>
  <si>
    <t>Contactos [kVA]</t>
  </si>
  <si>
    <t>Equipos [kVA]</t>
  </si>
  <si>
    <t>Especiales [kVA]</t>
  </si>
  <si>
    <t>C. instalada [kVA]</t>
  </si>
  <si>
    <t>I inst. [A]</t>
  </si>
  <si>
    <t>I prot. [A]</t>
  </si>
  <si>
    <t>Interruptor [A]</t>
  </si>
  <si>
    <t>PLANTA BAJA</t>
  </si>
  <si>
    <t>PASILLO DE SERVICIO</t>
  </si>
  <si>
    <t>Pasillos y closets (áreas comunes)</t>
  </si>
  <si>
    <t>ESCALERAS EMERGENCIA</t>
  </si>
  <si>
    <t>Escaleras de emergencia</t>
  </si>
  <si>
    <t>PRIMER NIVEL</t>
  </si>
  <si>
    <t>SEGUNDO NIVEL</t>
  </si>
  <si>
    <t>Elevadores · Tabla 620.14</t>
  </si>
  <si>
    <t>kW = HP × 0,746. Factor de demanda vacío = automático por Tabla 620.14 según el n.º de elevadores del sector (o el valor del perfil).</t>
  </si>
  <si>
    <t>Descripción</t>
  </si>
  <si>
    <t>Capacidad [HP]</t>
  </si>
  <si>
    <t>kW c/u</t>
  </si>
  <si>
    <t>Carga total [kW]</t>
  </si>
  <si>
    <t>Carga total [kVA]</t>
  </si>
  <si>
    <t>F.D. (vacío = auto)</t>
  </si>
  <si>
    <t>F.D. aplicado</t>
  </si>
  <si>
    <t>Demandada [kW]</t>
  </si>
  <si>
    <t>Demandada [kVA]</t>
  </si>
  <si>
    <t>Parámetros de cálculo</t>
  </si>
  <si>
    <t>Perfil de cálculo activo</t>
  </si>
  <si>
    <t>NEC 2020</t>
  </si>
  <si>
    <t>← elija el perfil. Costa Rica adopta el NEC 2020 en español. NEC 2026 y las cifras de ASHRAE son referencias por verificar.</t>
  </si>
  <si>
    <t>Parámetro</t>
  </si>
  <si>
    <t>Unidad</t>
  </si>
  <si>
    <t>Activo</t>
  </si>
  <si>
    <t>NEC 2023</t>
  </si>
  <si>
    <t>NEC 2026</t>
  </si>
  <si>
    <t>LUAH</t>
  </si>
  <si>
    <t>Excel original</t>
  </si>
  <si>
    <t>Personalizado</t>
  </si>
  <si>
    <t>Alumbrado general de vivienda</t>
  </si>
  <si>
    <t>VA/m²</t>
  </si>
  <si>
    <t>Circuitos de aparatos pequeños (cocina)</t>
  </si>
  <si>
    <t>n.º</t>
  </si>
  <si>
    <t>Carga por circuito de aparatos pequeños</t>
  </si>
  <si>
    <t>VA</t>
  </si>
  <si>
    <t>Circuito de lavandería</t>
  </si>
  <si>
    <t>Circuito de baños</t>
  </si>
  <si>
    <t>Cocina eléctrica por vivienda (si no hay lista)</t>
  </si>
  <si>
    <t>Calentador de agua (si no hay lista)</t>
  </si>
  <si>
    <t>Tomacorrientes de uso general</t>
  </si>
  <si>
    <t>Tomacorrientes exteriores</t>
  </si>
  <si>
    <t>Circuito gabinete telecom</t>
  </si>
  <si>
    <t>Circuito de detectores</t>
  </si>
  <si>
    <t>Condensadoras (0 = captura manual en VA)</t>
  </si>
  <si>
    <t>Manejadoras, % de las condensadoras</t>
  </si>
  <si>
    <t>%</t>
  </si>
  <si>
    <t>Primer escalón al 100 % (método opcional 220.82(B))</t>
  </si>
  <si>
    <t>Factor del resto (método opcional)</t>
  </si>
  <si>
    <t>Factor adicional carga general</t>
  </si>
  <si>
    <t>Factor HVAC por vivienda</t>
  </si>
  <si>
    <t>Factor de diversidad del alimentador de vivienda</t>
  </si>
  <si>
    <t>N.º mínimo de aparatos fijos para aplicar 220.53</t>
  </si>
  <si>
    <t>Tabla 220.42 también a equipos (1 = sí, criterio hoja original)</t>
  </si>
  <si>
    <t>1/0</t>
  </si>
  <si>
    <t>Aparatos fijos y especiales en el sector (220.53)</t>
  </si>
  <si>
    <t>Factor HVAC de sector</t>
  </si>
  <si>
    <t>Factor HVAC de proyecto</t>
  </si>
  <si>
    <t>Servicios con factores propios en el proyecto (1 = sí)</t>
  </si>
  <si>
    <t>Servicios: factor de alumbrado</t>
  </si>
  <si>
    <t>Servicios: factor de contactos (si no se usa Tabla 220.44)</t>
  </si>
  <si>
    <t>Servicios: factor de equipos</t>
  </si>
  <si>
    <t>Servicios: factor de equipos especiales</t>
  </si>
  <si>
    <t>Servicios: factor de fuerza (A/A)</t>
  </si>
  <si>
    <t>Servicios: factor de elevadores (si no es automático)</t>
  </si>
  <si>
    <t>Factor de elevadores automático por Tabla 620.14 (1 = sí)</t>
  </si>
  <si>
    <t>Contactos de servicios por Tabla 220.44 (1 = sí)</t>
  </si>
  <si>
    <t>Tabla 220.44 por separado a UPS y contactos (1 = sí)</t>
  </si>
  <si>
    <t>Factor de potencia</t>
  </si>
  <si>
    <t>Tensión del alimentador</t>
  </si>
  <si>
    <t>V</t>
  </si>
  <si>
    <t>Fases (1 o 3)</t>
  </si>
  <si>
    <t>Factor sobre la corriente demandada (protección)</t>
  </si>
  <si>
    <t>Interruptor mínimo</t>
  </si>
  <si>
    <t>A</t>
  </si>
  <si>
    <t>Tabla 220.42 · alumbrado y contactos de vivienda (escalones)</t>
  </si>
  <si>
    <t>Hasta [VA]</t>
  </si>
  <si>
    <t>Factor</t>
  </si>
  <si>
    <t>(resto)</t>
  </si>
  <si>
    <t>Tabla 220.44 · receptáculos no residenciales</t>
  </si>
  <si>
    <t>Tabla 620.14 · elevadores en un mismo alimentador</t>
  </si>
  <si>
    <t>Hasta n.º de elevadores</t>
  </si>
  <si>
    <t>Tabla 220.84 · método opcional multifamiliar</t>
  </si>
  <si>
    <t>Hasta n.º de viviendas</t>
  </si>
  <si>
    <t>Interruptores normalizados [A] (240.6(A)) · en orden ascendente</t>
  </si>
  <si>
    <t>Transformadores normalizados [kVA] · en orden ascendente</t>
  </si>
  <si>
    <t>kVA</t>
  </si>
  <si>
    <t>Conductor por interruptor (de la hoja de alimentadores de aptos; verificar con la Tabla 310.16)</t>
  </si>
  <si>
    <t>Cobre</t>
  </si>
  <si>
    <t>Aluminio</t>
  </si>
  <si>
    <t>10</t>
  </si>
  <si>
    <t>8</t>
  </si>
  <si>
    <t>6</t>
  </si>
  <si>
    <t>4</t>
  </si>
  <si>
    <t>2</t>
  </si>
  <si>
    <t>2/0</t>
  </si>
  <si>
    <t>3/0</t>
  </si>
  <si>
    <t>4/0</t>
  </si>
  <si>
    <t>250</t>
  </si>
  <si>
    <t>300</t>
  </si>
  <si>
    <t>350</t>
  </si>
  <si>
    <t>500</t>
  </si>
  <si>
    <t>700</t>
  </si>
  <si>
    <t>600</t>
  </si>
  <si>
    <t>900</t>
  </si>
  <si>
    <t>1250</t>
  </si>
  <si>
    <t>1500</t>
  </si>
  <si>
    <t>Tipos de espacio · densidades de carga [VA/m²] y referencia ASHRAE 90.1-2019 [W/m²]</t>
  </si>
  <si>
    <t>Alumbrado (220.12)</t>
  </si>
  <si>
    <t>Contactos UPS</t>
  </si>
  <si>
    <t>Contactos</t>
  </si>
  <si>
    <t>HVAC</t>
  </si>
  <si>
    <t>ASHRAE 90.1 alumbrado</t>
  </si>
  <si>
    <t>Cuarto eléctrico / cuarto de torres (service yard)</t>
  </si>
  <si>
    <t>Cuarto de bombas</t>
  </si>
  <si>
    <t>Áreas de servicio por nivel (hotel / edificio)</t>
  </si>
  <si>
    <t>Hoteles / moteles / apartamentos sin cocina</t>
  </si>
  <si>
    <t>Oficinas</t>
  </si>
  <si>
    <t>Tiendas / comercio</t>
  </si>
  <si>
    <t>Estacionamiento comercial</t>
  </si>
  <si>
    <t>Bodegas</t>
  </si>
  <si>
    <t>Salones de reunión / auditorios</t>
  </si>
  <si>
    <t>Restaurantes</t>
  </si>
  <si>
    <t>Escuelas</t>
  </si>
  <si>
    <t>Hospitales</t>
  </si>
  <si>
    <t>Almacenamiento</t>
  </si>
  <si>
    <t>Otro (valores manuales)</t>
  </si>
  <si>
    <t>Catálogo de dispositivos de vivienda (lista de selección) · categoría: fijo, cocina, calentador o esp</t>
  </si>
  <si>
    <t>Dispositivo</t>
  </si>
  <si>
    <t>Categoría</t>
  </si>
  <si>
    <t>fijo</t>
  </si>
  <si>
    <t>calentador</t>
  </si>
  <si>
    <t>Calentador paso 2</t>
  </si>
  <si>
    <t>cocina</t>
  </si>
  <si>
    <t>Horno</t>
  </si>
  <si>
    <t>Cocina/Horno</t>
  </si>
  <si>
    <t>Extractor cocina</t>
  </si>
  <si>
    <t>Bombas potable</t>
  </si>
  <si>
    <t>Tablero piscina</t>
  </si>
  <si>
    <t>esp</t>
  </si>
  <si>
    <t>Gabinete residencial telecom</t>
  </si>
  <si>
    <t>Gabinete pared telecom</t>
  </si>
  <si>
    <t>Lavadora</t>
  </si>
  <si>
    <t>Detector de humo</t>
  </si>
  <si>
    <t>Calentador de agua eléctrico (Art. 15 CR)</t>
  </si>
  <si>
    <t>Cocina eléctrica (Art. 15 CR)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</si>
</sst>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0.0"/>
  </numFmts>
  <fonts count="9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rgb="FFFFFFFF"/>
      <name val="Calibri"/>
    </font>
    <font>
      <b/>
      <sz val="12"/>
      <name val="Calibri"/>
    </font>
    <font>
      <i/>
      <sz val="11"/>
      <color rgb="FF7F7F7F"/>
      <name val="Calibri"/>
    </font>
    <font>
      <b/>
      <sz val="13"/>
      <name val="Calibri"/>
    </font>
    <font>
      <b/>
      <u/>
      <sz val="11"/>
      <color rgb="FF1F4E78"/>
      <name val="Calibri"/>
    </font>
    <font>
      <b/>
      <sz val="16"/>
      <name val="Calibri"/>
    </font>
  </fonts>
  <fills count="7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2F2F2"/>
      </patternFill>
    </fill>
    <fill>
      <patternFill patternType="solid">
        <fgColor rgb="FFDDEBF7"/>
      </patternFill>
    </fill>
    <fill>
      <patternFill patternType="solid">
        <fgColor rgb="FFBDD7EE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8" fillId="0" borderId="0" xfId="0" applyFont="1"/>
    <xf numFmtId="0" fontId="2" fillId="0" borderId="0" xfId="0" applyFont="1"/>
    <xf numFmtId="0" fontId="1" fillId="0" borderId="0" xfId="0" applyFont="1"/>
    <xf numFmtId="0" fontId="2" fillId="0" borderId="1" xfId="0" applyFont="1" applyBorder="1"/>
    <xf numFmtId="0" fontId="0" fillId="2" borderId="1" xfId="0" applyFill="1" applyBorder="1"/>
    <xf numFmtId="0" fontId="2" fillId="4" borderId="1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1" fontId="0" fillId="4" borderId="1" xfId="0" applyNumberFormat="1" applyFill="1" applyBorder="1"/>
    <xf numFmtId="164" fontId="0" fillId="4" borderId="1" xfId="0" applyNumberFormat="1" applyFill="1" applyBorder="1"/>
    <xf numFmtId="2" fontId="0" fillId="4" borderId="1" xfId="0" applyNumberForma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2" fontId="0" fillId="2" borderId="1" xfId="0" applyNumberFormat="1" applyFill="1" applyBorder="1"/>
    <xf numFmtId="0" fontId="2" fillId="5" borderId="1" xfId="0" applyFont="1" applyFill="1" applyBorder="1"/>
    <xf numFmtId="2" fontId="2" fillId="5" borderId="1" xfId="0" applyNumberFormat="1" applyFont="1" applyFill="1" applyBorder="1"/>
    <xf numFmtId="0" fontId="5" fillId="0" borderId="0" xfId="0" applyFont="1"/>
    <xf numFmtId="0" fontId="0" fillId="0" borderId="1" xfId="0" applyBorder="1"/>
    <xf numFmtId="165" fontId="0" fillId="4" borderId="1" xfId="0" applyNumberFormat="1" applyFill="1" applyBorder="1"/>
    <xf numFmtId="0" fontId="0" fillId="5" borderId="1" xfId="0" applyFill="1" applyBorder="1"/>
    <xf numFmtId="165" fontId="2" fillId="5" borderId="1" xfId="0" applyNumberFormat="1" applyFont="1" applyFill="1" applyBorder="1"/>
    <xf numFmtId="0" fontId="0" fillId="2" borderId="1" xfId="0" applyFill="1" applyBorder="1" applyAlignment="1">
      <alignment horizontal="center" vertical="center"/>
    </xf>
    <xf numFmtId="9" fontId="0" fillId="4" borderId="1" xfId="0" applyNumberFormat="1" applyFill="1" applyBorder="1"/>
    <xf numFmtId="0" fontId="0" fillId="4" borderId="1" xfId="0" applyFill="1" applyBorder="1" applyAlignment="1">
      <alignment horizontal="center" vertical="center"/>
    </xf>
    <xf numFmtId="0" fontId="7" fillId="4" borderId="1" xfId="0" applyFont="1" applyFill="1" applyBorder="1"/>
    <xf numFmtId="166" fontId="0" fillId="4" borderId="1" xfId="0" applyNumberFormat="1" applyFill="1" applyBorder="1"/>
    <xf numFmtId="0" fontId="6" fillId="0" borderId="0" xfId="0" applyFont="1"/>
    <xf numFmtId="0" fontId="2" fillId="6" borderId="1" xfId="0" applyFont="1" applyFill="1" applyBorder="1"/>
    <xf numFmtId="164" fontId="2" fillId="4" borderId="1" xfId="0" applyNumberFormat="1" applyFont="1" applyFill="1" applyBorder="1"/>
    <xf numFmtId="0" fontId="2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164" fontId="2" fillId="5" borderId="1" xfId="0" applyNumberFormat="1" applyFont="1" applyFill="1" applyBorder="1"/>
    <xf numFmtId="0" fontId="2" fillId="2" borderId="1" xfId="0" applyFont="1" applyFill="1" applyBorder="1"/>
    <xf numFmtId="0" fontId="0" fillId="0" borderId="1" xfId="0" applyBorder="1" applyAlignment="1">
      <alignment horizontal="center" vertical="center"/>
    </xf>
    <xf numFmtId="0" fontId="4" fillId="0" borderId="0" xfId="0" applyFon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4" borderId="1" xfId="0" applyFont="1" applyFill="1" applyBorder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1181100</xdr:colOff>
          <xdr:row>2</xdr:row>
          <xdr:rowOff>0</xdr:rowOff>
        </xdr:from>
        <xdr:to>
          <xdr:col>9</xdr:col>
          <xdr:colOff>1609725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69BC834-A739-8CC9-3628-16421EFA8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352425</xdr:colOff>
          <xdr:row>2</xdr:row>
          <xdr:rowOff>0</xdr:rowOff>
        </xdr:from>
        <xdr:to>
          <xdr:col>2</xdr:col>
          <xdr:colOff>638175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509735D-B55F-1232-329C-8412DE114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Abrir caja de la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704850</xdr:colOff>
          <xdr:row>2</xdr:row>
          <xdr:rowOff>0</xdr:rowOff>
        </xdr:from>
        <xdr:to>
          <xdr:col>7</xdr:col>
          <xdr:colOff>57150</xdr:colOff>
          <xdr:row>3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5FFA508-55B0-CBA0-6BC8-B4FAF75C7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vivienda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771525</xdr:colOff>
          <xdr:row>2</xdr:row>
          <xdr:rowOff>0</xdr:rowOff>
        </xdr:from>
        <xdr:to>
          <xdr:col>10</xdr:col>
          <xdr:colOff>342900</xdr:colOff>
          <xdr:row>3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FBDC970-D493-BDCC-A33E-0C970515F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vivienda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742950</xdr:colOff>
          <xdr:row>1</xdr:row>
          <xdr:rowOff>0</xdr:rowOff>
        </xdr:from>
        <xdr:to>
          <xdr:col>17</xdr:col>
          <xdr:colOff>19050</xdr:colOff>
          <xdr:row>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C77A1F6-2A5E-35F4-34E7-4F6916064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Vaciar servicios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workbookViewId="0"/>
  </sheetViews>
  <sheetFormatPr defaultRowHeight="14.25" x14ac:dyDescent="0.45"/>
  <cols>
    <col min="1" max="1" width="150" customWidth="1"/>
  </cols>
  <sheetData>
    <row r="1" spans="1:1" ht="21" x14ac:dyDescent="0.65">
      <c r="A1" s="1" t="s">
        <v>92</v>
      </c>
    </row>
    <row r="3" spans="1:1" x14ac:dyDescent="0.45">
      <c r="A3" t="s">
        <v>93</v>
      </c>
    </row>
    <row r="5" spans="1:1" x14ac:dyDescent="0.45">
      <c r="A5" s="2" t="s">
        <v>94</v>
      </c>
    </row>
    <row r="6" spans="1:1" x14ac:dyDescent="0.45">
      <c r="A6" t="s">
        <v>95</v>
      </c>
    </row>
    <row r="7" spans="1:1" x14ac:dyDescent="0.45">
      <c r="A7" t="s">
        <v>96</v>
      </c>
    </row>
    <row r="8" spans="1:1" x14ac:dyDescent="0.45">
      <c r="A8" t="s">
        <v>97</v>
      </c>
    </row>
    <row r="9" spans="1:1" x14ac:dyDescent="0.45">
      <c r="A9" t="s">
        <v>98</v>
      </c>
    </row>
    <row r="10" spans="1:1" x14ac:dyDescent="0.45">
      <c r="A10" t="s">
        <v>99</v>
      </c>
    </row>
    <row r="11" spans="1:1" x14ac:dyDescent="0.45">
      <c r="A11" t="s">
        <v>100</v>
      </c>
    </row>
    <row r="13" spans="1:1" x14ac:dyDescent="0.45">
      <c r="A13" s="2" t="s">
        <v>101</v>
      </c>
    </row>
    <row r="14" spans="1:1" x14ac:dyDescent="0.45">
      <c r="A14" t="s">
        <v>102</v>
      </c>
    </row>
    <row r="15" spans="1:1" x14ac:dyDescent="0.45">
      <c r="A15" t="s">
        <v>103</v>
      </c>
    </row>
    <row r="16" spans="1:1" x14ac:dyDescent="0.45">
      <c r="A16" t="s">
        <v>104</v>
      </c>
    </row>
    <row r="17" spans="1:1" x14ac:dyDescent="0.45">
      <c r="A17" t="s">
        <v>105</v>
      </c>
    </row>
    <row r="18" spans="1:1" x14ac:dyDescent="0.45">
      <c r="A18" t="s">
        <v>106</v>
      </c>
    </row>
    <row r="20" spans="1:1" x14ac:dyDescent="0.45">
      <c r="A20" s="2" t="s">
        <v>107</v>
      </c>
    </row>
    <row r="21" spans="1:1" x14ac:dyDescent="0.45">
      <c r="A21" t="s">
        <v>108</v>
      </c>
    </row>
    <row r="22" spans="1:1" x14ac:dyDescent="0.45">
      <c r="A22" t="s">
        <v>109</v>
      </c>
    </row>
    <row r="23" spans="1:1" x14ac:dyDescent="0.45">
      <c r="A23" t="s">
        <v>110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3"/>
  <sheetViews>
    <sheetView tabSelected="1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44" customWidth="1"/>
    <col min="2" max="2" width="24" customWidth="1"/>
    <col min="3" max="9" width="17" customWidth="1"/>
    <col min="10" max="10" width="44" customWidth="1"/>
    <col min="11" max="25" width="17" customWidth="1"/>
  </cols>
  <sheetData>
    <row r="1" spans="1:15" ht="18" x14ac:dyDescent="0.55000000000000004">
      <c r="A1" s="3" t="s">
        <v>0</v>
      </c>
    </row>
    <row r="3" spans="1:15" x14ac:dyDescent="0.45">
      <c r="A3" s="4" t="s">
        <v>1</v>
      </c>
      <c r="B3" s="35"/>
      <c r="C3" s="36"/>
      <c r="D3" s="36"/>
      <c r="E3" s="37"/>
      <c r="F3" s="4" t="s">
        <v>2</v>
      </c>
      <c r="G3" s="38" t="str">
        <f>perfil_sel</f>
        <v>NEC 2020</v>
      </c>
      <c r="H3" s="36"/>
      <c r="I3" s="37"/>
    </row>
    <row r="4" spans="1:15" x14ac:dyDescent="0.45">
      <c r="A4" s="4" t="s">
        <v>3</v>
      </c>
      <c r="B4" s="35"/>
      <c r="C4" s="36"/>
      <c r="D4" s="36"/>
      <c r="E4" s="37"/>
    </row>
    <row r="5" spans="1:15" x14ac:dyDescent="0.45">
      <c r="A5" s="4" t="s">
        <v>4</v>
      </c>
      <c r="B5" s="35"/>
      <c r="C5" s="36"/>
      <c r="D5" s="36"/>
      <c r="E5" s="37"/>
    </row>
    <row r="6" spans="1:15" x14ac:dyDescent="0.45">
      <c r="A6" s="4" t="s">
        <v>5</v>
      </c>
      <c r="B6" s="35"/>
      <c r="C6" s="36"/>
      <c r="D6" s="36"/>
      <c r="E6" s="37"/>
    </row>
    <row r="8" spans="1:15" x14ac:dyDescent="0.45">
      <c r="A8" s="2" t="s">
        <v>6</v>
      </c>
    </row>
    <row r="9" spans="1:15" ht="48" customHeight="1" x14ac:dyDescent="0.45">
      <c r="A9" s="7" t="s">
        <v>7</v>
      </c>
      <c r="B9" s="7" t="s">
        <v>8</v>
      </c>
      <c r="C9" s="7" t="s">
        <v>9</v>
      </c>
      <c r="D9" s="7" t="s">
        <v>10</v>
      </c>
      <c r="E9" s="7" t="s">
        <v>11</v>
      </c>
      <c r="F9" s="7" t="s">
        <v>12</v>
      </c>
      <c r="G9" s="7" t="s">
        <v>13</v>
      </c>
      <c r="H9" s="7" t="s">
        <v>14</v>
      </c>
      <c r="I9" s="7" t="s">
        <v>15</v>
      </c>
      <c r="J9" s="7" t="s">
        <v>16</v>
      </c>
      <c r="K9" s="7" t="s">
        <v>17</v>
      </c>
      <c r="L9" s="7" t="s">
        <v>18</v>
      </c>
      <c r="M9" s="7" t="s">
        <v>19</v>
      </c>
      <c r="N9" s="7" t="s">
        <v>20</v>
      </c>
      <c r="O9" s="7" t="s">
        <v>21</v>
      </c>
    </row>
    <row r="10" spans="1:15" x14ac:dyDescent="0.45">
      <c r="A10" s="5" t="s">
        <v>22</v>
      </c>
      <c r="B10" s="8">
        <f>IF($A10="","",SUMPRODUCT((Viviendas!$C$3:$AZ$3=$A10)*Viviendas!$C$92:$AZ$92))</f>
        <v>1</v>
      </c>
      <c r="C10" s="9">
        <f>IF($A10="","",SUMPRODUCT((Viviendas!$C$3:$AZ$3=$A10)*Viviendas!$C$92:$AZ$92*Viviendas!$C$93:$AZ$93)+N(N10))</f>
        <v>42.595000000000006</v>
      </c>
      <c r="D10" s="9">
        <f>IF($A10="","",SUMPRODUCT((Viviendas!$C$3:$AZ$3=$A10)*Viviendas!$C$92:$AZ$92*Viviendas!$C$94:$AZ$94))</f>
        <v>84.28</v>
      </c>
      <c r="E10" s="9">
        <f>IF($A10="","",SUMPRODUCT((Viviendas!$C$3:$AZ$3=$A10)*Viviendas!$C$92:$AZ$92*Viviendas!$C$95:$AZ$95))</f>
        <v>4</v>
      </c>
      <c r="F10" s="8">
        <f>IF($A10="","",SUMPRODUCT((Viviendas!$C$3:$AZ$3=$A10)*Viviendas!$C$92:$AZ$92*(Viviendas!$C$95:$AZ$95&gt;0)))</f>
        <v>1</v>
      </c>
      <c r="G10" s="9">
        <f>IF($A10="","",SUMPRODUCT((Viviendas!$C$3:$AZ$3=$A10)*Viviendas!$C$92:$AZ$92*Viviendas!$C$96:$AZ$96)+N(O10))</f>
        <v>55.352000000000004</v>
      </c>
      <c r="H10" s="10">
        <f t="shared" ref="H10:H17" si="0">IF($A10="","",C10+D10+E10)</f>
        <v>130.875</v>
      </c>
      <c r="I10" s="10">
        <f t="shared" ref="I10:I17" si="1">IF($A10="","",G10)</f>
        <v>55.352000000000004</v>
      </c>
      <c r="J10" s="10">
        <f>IF($A10="","",IF(p_tablaIncluyeEquipos=1,(MIN((C10+D10+E10),t42_h1/1000)*t42_f1+MAX(0,MIN((C10+D10+E10),t42_h2/1000)-t42_h1/1000)*t42_f2+MAX(0,(C10+D10+E10)-t42_h2/1000)*t42_f3),(MIN(C10,t42_h1/1000)*t42_f1+MAX(0,MIN(C10,t42_h2/1000)-t42_h1/1000)*t42_f2+MAX(0,C10-t42_h2/1000)*t42_f3)+D10*p_applFD+IF(F10=0,0,IF(F10&lt;=5,INDEX({8,11,14,17,20},F10),IF(F10&lt;=30,15+F10,25+0.75*F10))*IF(E10/F10&gt;12,1+0.05*ROUNDUP(E10/F10-12,0),1))))</f>
        <v>88.068250000000006</v>
      </c>
      <c r="K10" s="10">
        <f t="shared" ref="K10:K17" si="2">IF($A10="","",G10*p_hvacAggFD)</f>
        <v>55.352000000000004</v>
      </c>
      <c r="L10" s="11">
        <f t="shared" ref="L10:L17" si="3">IF($A10="","",J10+K10)</f>
        <v>143.42025000000001</v>
      </c>
      <c r="M10" s="12" t="str">
        <f t="shared" ref="M10:M17" si="4">IF($A10="","",IF(N(L10)&lt;=0,"",IF(L10&lt;=MAX(trafo_list),INDEX(trafo_list,SUMPRODUCT(--(trafo_list&lt;L10-0.000000001))+1)&amp;" kVA",ROUNDUP(L10/MAX(trafo_list),0)&amp;" × "&amp;MAX(trafo_list)&amp;" kVA")))</f>
        <v>150 kVA</v>
      </c>
      <c r="N10" s="13"/>
      <c r="O10" s="13"/>
    </row>
    <row r="11" spans="1:15" x14ac:dyDescent="0.45">
      <c r="A11" s="5"/>
      <c r="B11" s="8" t="str">
        <f>IF($A11="","",SUMPRODUCT((Viviendas!$C$3:$AZ$3=$A11)*Viviendas!$C$92:$AZ$92))</f>
        <v/>
      </c>
      <c r="C11" s="9" t="str">
        <f>IF($A11="","",SUMPRODUCT((Viviendas!$C$3:$AZ$3=$A11)*Viviendas!$C$92:$AZ$92*Viviendas!$C$93:$AZ$93)+N(N11))</f>
        <v/>
      </c>
      <c r="D11" s="9" t="str">
        <f>IF($A11="","",SUMPRODUCT((Viviendas!$C$3:$AZ$3=$A11)*Viviendas!$C$92:$AZ$92*Viviendas!$C$94:$AZ$94))</f>
        <v/>
      </c>
      <c r="E11" s="9" t="str">
        <f>IF($A11="","",SUMPRODUCT((Viviendas!$C$3:$AZ$3=$A11)*Viviendas!$C$92:$AZ$92*Viviendas!$C$95:$AZ$95))</f>
        <v/>
      </c>
      <c r="F11" s="8" t="str">
        <f>IF($A11="","",SUMPRODUCT((Viviendas!$C$3:$AZ$3=$A11)*Viviendas!$C$92:$AZ$92*(Viviendas!$C$95:$AZ$95&gt;0)))</f>
        <v/>
      </c>
      <c r="G11" s="9" t="str">
        <f>IF($A11="","",SUMPRODUCT((Viviendas!$C$3:$AZ$3=$A11)*Viviendas!$C$92:$AZ$92*Viviendas!$C$96:$AZ$96)+N(O11))</f>
        <v/>
      </c>
      <c r="H11" s="10" t="str">
        <f t="shared" si="0"/>
        <v/>
      </c>
      <c r="I11" s="10" t="str">
        <f t="shared" si="1"/>
        <v/>
      </c>
      <c r="J11" s="10" t="str">
        <f>IF($A11="","",IF(p_tablaIncluyeEquipos=1,(MIN((C11+D11+E11),t42_h1/1000)*t42_f1+MAX(0,MIN((C11+D11+E11),t42_h2/1000)-t42_h1/1000)*t42_f2+MAX(0,(C11+D11+E11)-t42_h2/1000)*t42_f3),(MIN(C11,t42_h1/1000)*t42_f1+MAX(0,MIN(C11,t42_h2/1000)-t42_h1/1000)*t42_f2+MAX(0,C11-t42_h2/1000)*t42_f3)+D11*p_applFD+IF(F11=0,0,IF(F11&lt;=5,INDEX({8,11,14,17,20},F11),IF(F11&lt;=30,15+F11,25+0.75*F11))*IF(E11/F11&gt;12,1+0.05*ROUNDUP(E11/F11-12,0),1))))</f>
        <v/>
      </c>
      <c r="K11" s="10" t="str">
        <f t="shared" si="2"/>
        <v/>
      </c>
      <c r="L11" s="11" t="str">
        <f t="shared" si="3"/>
        <v/>
      </c>
      <c r="M11" s="12" t="str">
        <f t="shared" si="4"/>
        <v/>
      </c>
      <c r="N11" s="13"/>
      <c r="O11" s="13"/>
    </row>
    <row r="12" spans="1:15" x14ac:dyDescent="0.45">
      <c r="A12" s="5"/>
      <c r="B12" s="8" t="str">
        <f>IF($A12="","",SUMPRODUCT((Viviendas!$C$3:$AZ$3=$A12)*Viviendas!$C$92:$AZ$92))</f>
        <v/>
      </c>
      <c r="C12" s="9" t="str">
        <f>IF($A12="","",SUMPRODUCT((Viviendas!$C$3:$AZ$3=$A12)*Viviendas!$C$92:$AZ$92*Viviendas!$C$93:$AZ$93)+N(N12))</f>
        <v/>
      </c>
      <c r="D12" s="9" t="str">
        <f>IF($A12="","",SUMPRODUCT((Viviendas!$C$3:$AZ$3=$A12)*Viviendas!$C$92:$AZ$92*Viviendas!$C$94:$AZ$94))</f>
        <v/>
      </c>
      <c r="E12" s="9" t="str">
        <f>IF($A12="","",SUMPRODUCT((Viviendas!$C$3:$AZ$3=$A12)*Viviendas!$C$92:$AZ$92*Viviendas!$C$95:$AZ$95))</f>
        <v/>
      </c>
      <c r="F12" s="8" t="str">
        <f>IF($A12="","",SUMPRODUCT((Viviendas!$C$3:$AZ$3=$A12)*Viviendas!$C$92:$AZ$92*(Viviendas!$C$95:$AZ$95&gt;0)))</f>
        <v/>
      </c>
      <c r="G12" s="9" t="str">
        <f>IF($A12="","",SUMPRODUCT((Viviendas!$C$3:$AZ$3=$A12)*Viviendas!$C$92:$AZ$92*Viviendas!$C$96:$AZ$96)+N(O12))</f>
        <v/>
      </c>
      <c r="H12" s="10" t="str">
        <f t="shared" si="0"/>
        <v/>
      </c>
      <c r="I12" s="10" t="str">
        <f t="shared" si="1"/>
        <v/>
      </c>
      <c r="J12" s="10" t="str">
        <f>IF($A12="","",IF(p_tablaIncluyeEquipos=1,(MIN((C12+D12+E12),t42_h1/1000)*t42_f1+MAX(0,MIN((C12+D12+E12),t42_h2/1000)-t42_h1/1000)*t42_f2+MAX(0,(C12+D12+E12)-t42_h2/1000)*t42_f3),(MIN(C12,t42_h1/1000)*t42_f1+MAX(0,MIN(C12,t42_h2/1000)-t42_h1/1000)*t42_f2+MAX(0,C12-t42_h2/1000)*t42_f3)+D12*p_applFD+IF(F12=0,0,IF(F12&lt;=5,INDEX({8,11,14,17,20},F12),IF(F12&lt;=30,15+F12,25+0.75*F12))*IF(E12/F12&gt;12,1+0.05*ROUNDUP(E12/F12-12,0),1))))</f>
        <v/>
      </c>
      <c r="K12" s="10" t="str">
        <f t="shared" si="2"/>
        <v/>
      </c>
      <c r="L12" s="11" t="str">
        <f t="shared" si="3"/>
        <v/>
      </c>
      <c r="M12" s="12" t="str">
        <f t="shared" si="4"/>
        <v/>
      </c>
      <c r="N12" s="13"/>
      <c r="O12" s="13"/>
    </row>
    <row r="13" spans="1:15" x14ac:dyDescent="0.45">
      <c r="A13" s="5"/>
      <c r="B13" s="8" t="str">
        <f>IF($A13="","",SUMPRODUCT((Viviendas!$C$3:$AZ$3=$A13)*Viviendas!$C$92:$AZ$92))</f>
        <v/>
      </c>
      <c r="C13" s="9" t="str">
        <f>IF($A13="","",SUMPRODUCT((Viviendas!$C$3:$AZ$3=$A13)*Viviendas!$C$92:$AZ$92*Viviendas!$C$93:$AZ$93)+N(N13))</f>
        <v/>
      </c>
      <c r="D13" s="9" t="str">
        <f>IF($A13="","",SUMPRODUCT((Viviendas!$C$3:$AZ$3=$A13)*Viviendas!$C$92:$AZ$92*Viviendas!$C$94:$AZ$94))</f>
        <v/>
      </c>
      <c r="E13" s="9" t="str">
        <f>IF($A13="","",SUMPRODUCT((Viviendas!$C$3:$AZ$3=$A13)*Viviendas!$C$92:$AZ$92*Viviendas!$C$95:$AZ$95))</f>
        <v/>
      </c>
      <c r="F13" s="8" t="str">
        <f>IF($A13="","",SUMPRODUCT((Viviendas!$C$3:$AZ$3=$A13)*Viviendas!$C$92:$AZ$92*(Viviendas!$C$95:$AZ$95&gt;0)))</f>
        <v/>
      </c>
      <c r="G13" s="9" t="str">
        <f>IF($A13="","",SUMPRODUCT((Viviendas!$C$3:$AZ$3=$A13)*Viviendas!$C$92:$AZ$92*Viviendas!$C$96:$AZ$96)+N(O13))</f>
        <v/>
      </c>
      <c r="H13" s="10" t="str">
        <f t="shared" si="0"/>
        <v/>
      </c>
      <c r="I13" s="10" t="str">
        <f t="shared" si="1"/>
        <v/>
      </c>
      <c r="J13" s="10" t="str">
        <f>IF($A13="","",IF(p_tablaIncluyeEquipos=1,(MIN((C13+D13+E13),t42_h1/1000)*t42_f1+MAX(0,MIN((C13+D13+E13),t42_h2/1000)-t42_h1/1000)*t42_f2+MAX(0,(C13+D13+E13)-t42_h2/1000)*t42_f3),(MIN(C13,t42_h1/1000)*t42_f1+MAX(0,MIN(C13,t42_h2/1000)-t42_h1/1000)*t42_f2+MAX(0,C13-t42_h2/1000)*t42_f3)+D13*p_applFD+IF(F13=0,0,IF(F13&lt;=5,INDEX({8,11,14,17,20},F13),IF(F13&lt;=30,15+F13,25+0.75*F13))*IF(E13/F13&gt;12,1+0.05*ROUNDUP(E13/F13-12,0),1))))</f>
        <v/>
      </c>
      <c r="K13" s="10" t="str">
        <f t="shared" si="2"/>
        <v/>
      </c>
      <c r="L13" s="11" t="str">
        <f t="shared" si="3"/>
        <v/>
      </c>
      <c r="M13" s="12" t="str">
        <f t="shared" si="4"/>
        <v/>
      </c>
      <c r="N13" s="13"/>
      <c r="O13" s="13"/>
    </row>
    <row r="14" spans="1:15" x14ac:dyDescent="0.45">
      <c r="A14" s="5"/>
      <c r="B14" s="8" t="str">
        <f>IF($A14="","",SUMPRODUCT((Viviendas!$C$3:$AZ$3=$A14)*Viviendas!$C$92:$AZ$92))</f>
        <v/>
      </c>
      <c r="C14" s="9" t="str">
        <f>IF($A14="","",SUMPRODUCT((Viviendas!$C$3:$AZ$3=$A14)*Viviendas!$C$92:$AZ$92*Viviendas!$C$93:$AZ$93)+N(N14))</f>
        <v/>
      </c>
      <c r="D14" s="9" t="str">
        <f>IF($A14="","",SUMPRODUCT((Viviendas!$C$3:$AZ$3=$A14)*Viviendas!$C$92:$AZ$92*Viviendas!$C$94:$AZ$94))</f>
        <v/>
      </c>
      <c r="E14" s="9" t="str">
        <f>IF($A14="","",SUMPRODUCT((Viviendas!$C$3:$AZ$3=$A14)*Viviendas!$C$92:$AZ$92*Viviendas!$C$95:$AZ$95))</f>
        <v/>
      </c>
      <c r="F14" s="8" t="str">
        <f>IF($A14="","",SUMPRODUCT((Viviendas!$C$3:$AZ$3=$A14)*Viviendas!$C$92:$AZ$92*(Viviendas!$C$95:$AZ$95&gt;0)))</f>
        <v/>
      </c>
      <c r="G14" s="9" t="str">
        <f>IF($A14="","",SUMPRODUCT((Viviendas!$C$3:$AZ$3=$A14)*Viviendas!$C$92:$AZ$92*Viviendas!$C$96:$AZ$96)+N(O14))</f>
        <v/>
      </c>
      <c r="H14" s="10" t="str">
        <f t="shared" si="0"/>
        <v/>
      </c>
      <c r="I14" s="10" t="str">
        <f t="shared" si="1"/>
        <v/>
      </c>
      <c r="J14" s="10" t="str">
        <f>IF($A14="","",IF(p_tablaIncluyeEquipos=1,(MIN((C14+D14+E14),t42_h1/1000)*t42_f1+MAX(0,MIN((C14+D14+E14),t42_h2/1000)-t42_h1/1000)*t42_f2+MAX(0,(C14+D14+E14)-t42_h2/1000)*t42_f3),(MIN(C14,t42_h1/1000)*t42_f1+MAX(0,MIN(C14,t42_h2/1000)-t42_h1/1000)*t42_f2+MAX(0,C14-t42_h2/1000)*t42_f3)+D14*p_applFD+IF(F14=0,0,IF(F14&lt;=5,INDEX({8,11,14,17,20},F14),IF(F14&lt;=30,15+F14,25+0.75*F14))*IF(E14/F14&gt;12,1+0.05*ROUNDUP(E14/F14-12,0),1))))</f>
        <v/>
      </c>
      <c r="K14" s="10" t="str">
        <f t="shared" si="2"/>
        <v/>
      </c>
      <c r="L14" s="11" t="str">
        <f t="shared" si="3"/>
        <v/>
      </c>
      <c r="M14" s="12" t="str">
        <f t="shared" si="4"/>
        <v/>
      </c>
      <c r="N14" s="13"/>
      <c r="O14" s="13"/>
    </row>
    <row r="15" spans="1:15" x14ac:dyDescent="0.45">
      <c r="A15" s="5"/>
      <c r="B15" s="8" t="str">
        <f>IF($A15="","",SUMPRODUCT((Viviendas!$C$3:$AZ$3=$A15)*Viviendas!$C$92:$AZ$92))</f>
        <v/>
      </c>
      <c r="C15" s="9" t="str">
        <f>IF($A15="","",SUMPRODUCT((Viviendas!$C$3:$AZ$3=$A15)*Viviendas!$C$92:$AZ$92*Viviendas!$C$93:$AZ$93)+N(N15))</f>
        <v/>
      </c>
      <c r="D15" s="9" t="str">
        <f>IF($A15="","",SUMPRODUCT((Viviendas!$C$3:$AZ$3=$A15)*Viviendas!$C$92:$AZ$92*Viviendas!$C$94:$AZ$94))</f>
        <v/>
      </c>
      <c r="E15" s="9" t="str">
        <f>IF($A15="","",SUMPRODUCT((Viviendas!$C$3:$AZ$3=$A15)*Viviendas!$C$92:$AZ$92*Viviendas!$C$95:$AZ$95))</f>
        <v/>
      </c>
      <c r="F15" s="8" t="str">
        <f>IF($A15="","",SUMPRODUCT((Viviendas!$C$3:$AZ$3=$A15)*Viviendas!$C$92:$AZ$92*(Viviendas!$C$95:$AZ$95&gt;0)))</f>
        <v/>
      </c>
      <c r="G15" s="9" t="str">
        <f>IF($A15="","",SUMPRODUCT((Viviendas!$C$3:$AZ$3=$A15)*Viviendas!$C$92:$AZ$92*Viviendas!$C$96:$AZ$96)+N(O15))</f>
        <v/>
      </c>
      <c r="H15" s="10" t="str">
        <f t="shared" si="0"/>
        <v/>
      </c>
      <c r="I15" s="10" t="str">
        <f t="shared" si="1"/>
        <v/>
      </c>
      <c r="J15" s="10" t="str">
        <f>IF($A15="","",IF(p_tablaIncluyeEquipos=1,(MIN((C15+D15+E15),t42_h1/1000)*t42_f1+MAX(0,MIN((C15+D15+E15),t42_h2/1000)-t42_h1/1000)*t42_f2+MAX(0,(C15+D15+E15)-t42_h2/1000)*t42_f3),(MIN(C15,t42_h1/1000)*t42_f1+MAX(0,MIN(C15,t42_h2/1000)-t42_h1/1000)*t42_f2+MAX(0,C15-t42_h2/1000)*t42_f3)+D15*p_applFD+IF(F15=0,0,IF(F15&lt;=5,INDEX({8,11,14,17,20},F15),IF(F15&lt;=30,15+F15,25+0.75*F15))*IF(E15/F15&gt;12,1+0.05*ROUNDUP(E15/F15-12,0),1))))</f>
        <v/>
      </c>
      <c r="K15" s="10" t="str">
        <f t="shared" si="2"/>
        <v/>
      </c>
      <c r="L15" s="11" t="str">
        <f t="shared" si="3"/>
        <v/>
      </c>
      <c r="M15" s="12" t="str">
        <f t="shared" si="4"/>
        <v/>
      </c>
      <c r="N15" s="13"/>
      <c r="O15" s="13"/>
    </row>
    <row r="16" spans="1:15" x14ac:dyDescent="0.45">
      <c r="A16" s="5"/>
      <c r="B16" s="8" t="str">
        <f>IF($A16="","",SUMPRODUCT((Viviendas!$C$3:$AZ$3=$A16)*Viviendas!$C$92:$AZ$92))</f>
        <v/>
      </c>
      <c r="C16" s="9" t="str">
        <f>IF($A16="","",SUMPRODUCT((Viviendas!$C$3:$AZ$3=$A16)*Viviendas!$C$92:$AZ$92*Viviendas!$C$93:$AZ$93)+N(N16))</f>
        <v/>
      </c>
      <c r="D16" s="9" t="str">
        <f>IF($A16="","",SUMPRODUCT((Viviendas!$C$3:$AZ$3=$A16)*Viviendas!$C$92:$AZ$92*Viviendas!$C$94:$AZ$94))</f>
        <v/>
      </c>
      <c r="E16" s="9" t="str">
        <f>IF($A16="","",SUMPRODUCT((Viviendas!$C$3:$AZ$3=$A16)*Viviendas!$C$92:$AZ$92*Viviendas!$C$95:$AZ$95))</f>
        <v/>
      </c>
      <c r="F16" s="8" t="str">
        <f>IF($A16="","",SUMPRODUCT((Viviendas!$C$3:$AZ$3=$A16)*Viviendas!$C$92:$AZ$92*(Viviendas!$C$95:$AZ$95&gt;0)))</f>
        <v/>
      </c>
      <c r="G16" s="9" t="str">
        <f>IF($A16="","",SUMPRODUCT((Viviendas!$C$3:$AZ$3=$A16)*Viviendas!$C$92:$AZ$92*Viviendas!$C$96:$AZ$96)+N(O16))</f>
        <v/>
      </c>
      <c r="H16" s="10" t="str">
        <f t="shared" si="0"/>
        <v/>
      </c>
      <c r="I16" s="10" t="str">
        <f t="shared" si="1"/>
        <v/>
      </c>
      <c r="J16" s="10" t="str">
        <f>IF($A16="","",IF(p_tablaIncluyeEquipos=1,(MIN((C16+D16+E16),t42_h1/1000)*t42_f1+MAX(0,MIN((C16+D16+E16),t42_h2/1000)-t42_h1/1000)*t42_f2+MAX(0,(C16+D16+E16)-t42_h2/1000)*t42_f3),(MIN(C16,t42_h1/1000)*t42_f1+MAX(0,MIN(C16,t42_h2/1000)-t42_h1/1000)*t42_f2+MAX(0,C16-t42_h2/1000)*t42_f3)+D16*p_applFD+IF(F16=0,0,IF(F16&lt;=5,INDEX({8,11,14,17,20},F16),IF(F16&lt;=30,15+F16,25+0.75*F16))*IF(E16/F16&gt;12,1+0.05*ROUNDUP(E16/F16-12,0),1))))</f>
        <v/>
      </c>
      <c r="K16" s="10" t="str">
        <f t="shared" si="2"/>
        <v/>
      </c>
      <c r="L16" s="11" t="str">
        <f t="shared" si="3"/>
        <v/>
      </c>
      <c r="M16" s="12" t="str">
        <f t="shared" si="4"/>
        <v/>
      </c>
      <c r="N16" s="13"/>
      <c r="O16" s="13"/>
    </row>
    <row r="17" spans="1:25" x14ac:dyDescent="0.45">
      <c r="A17" s="5"/>
      <c r="B17" s="8" t="str">
        <f>IF($A17="","",SUMPRODUCT((Viviendas!$C$3:$AZ$3=$A17)*Viviendas!$C$92:$AZ$92))</f>
        <v/>
      </c>
      <c r="C17" s="9" t="str">
        <f>IF($A17="","",SUMPRODUCT((Viviendas!$C$3:$AZ$3=$A17)*Viviendas!$C$92:$AZ$92*Viviendas!$C$93:$AZ$93)+N(N17))</f>
        <v/>
      </c>
      <c r="D17" s="9" t="str">
        <f>IF($A17="","",SUMPRODUCT((Viviendas!$C$3:$AZ$3=$A17)*Viviendas!$C$92:$AZ$92*Viviendas!$C$94:$AZ$94))</f>
        <v/>
      </c>
      <c r="E17" s="9" t="str">
        <f>IF($A17="","",SUMPRODUCT((Viviendas!$C$3:$AZ$3=$A17)*Viviendas!$C$92:$AZ$92*Viviendas!$C$95:$AZ$95))</f>
        <v/>
      </c>
      <c r="F17" s="8" t="str">
        <f>IF($A17="","",SUMPRODUCT((Viviendas!$C$3:$AZ$3=$A17)*Viviendas!$C$92:$AZ$92*(Viviendas!$C$95:$AZ$95&gt;0)))</f>
        <v/>
      </c>
      <c r="G17" s="9" t="str">
        <f>IF($A17="","",SUMPRODUCT((Viviendas!$C$3:$AZ$3=$A17)*Viviendas!$C$92:$AZ$92*Viviendas!$C$96:$AZ$96)+N(O17))</f>
        <v/>
      </c>
      <c r="H17" s="10" t="str">
        <f t="shared" si="0"/>
        <v/>
      </c>
      <c r="I17" s="10" t="str">
        <f t="shared" si="1"/>
        <v/>
      </c>
      <c r="J17" s="10" t="str">
        <f>IF($A17="","",IF(p_tablaIncluyeEquipos=1,(MIN((C17+D17+E17),t42_h1/1000)*t42_f1+MAX(0,MIN((C17+D17+E17),t42_h2/1000)-t42_h1/1000)*t42_f2+MAX(0,(C17+D17+E17)-t42_h2/1000)*t42_f3),(MIN(C17,t42_h1/1000)*t42_f1+MAX(0,MIN(C17,t42_h2/1000)-t42_h1/1000)*t42_f2+MAX(0,C17-t42_h2/1000)*t42_f3)+D17*p_applFD+IF(F17=0,0,IF(F17&lt;=5,INDEX({8,11,14,17,20},F17),IF(F17&lt;=30,15+F17,25+0.75*F17))*IF(E17/F17&gt;12,1+0.05*ROUNDUP(E17/F17-12,0),1))))</f>
        <v/>
      </c>
      <c r="K17" s="10" t="str">
        <f t="shared" si="2"/>
        <v/>
      </c>
      <c r="L17" s="11" t="str">
        <f t="shared" si="3"/>
        <v/>
      </c>
      <c r="M17" s="12" t="str">
        <f t="shared" si="4"/>
        <v/>
      </c>
      <c r="N17" s="13"/>
      <c r="O17" s="13"/>
    </row>
    <row r="18" spans="1:25" x14ac:dyDescent="0.45">
      <c r="A18" s="14" t="s">
        <v>23</v>
      </c>
      <c r="B18" s="15">
        <f t="shared" ref="B18:L18" si="5">SUM(B10:B17)</f>
        <v>1</v>
      </c>
      <c r="C18" s="15">
        <f t="shared" si="5"/>
        <v>42.595000000000006</v>
      </c>
      <c r="D18" s="15">
        <f t="shared" si="5"/>
        <v>84.28</v>
      </c>
      <c r="E18" s="15">
        <f t="shared" si="5"/>
        <v>4</v>
      </c>
      <c r="F18" s="15">
        <f t="shared" si="5"/>
        <v>1</v>
      </c>
      <c r="G18" s="15">
        <f t="shared" si="5"/>
        <v>55.352000000000004</v>
      </c>
      <c r="H18" s="15">
        <f t="shared" si="5"/>
        <v>130.875</v>
      </c>
      <c r="I18" s="15">
        <f t="shared" si="5"/>
        <v>55.352000000000004</v>
      </c>
      <c r="J18" s="15">
        <f t="shared" si="5"/>
        <v>88.068250000000006</v>
      </c>
      <c r="K18" s="15">
        <f t="shared" si="5"/>
        <v>55.352000000000004</v>
      </c>
      <c r="L18" s="15">
        <f t="shared" si="5"/>
        <v>143.42025000000001</v>
      </c>
    </row>
    <row r="19" spans="1:25" x14ac:dyDescent="0.45">
      <c r="A19" s="16" t="s">
        <v>24</v>
      </c>
    </row>
    <row r="21" spans="1:25" x14ac:dyDescent="0.45">
      <c r="A21" s="2" t="s">
        <v>25</v>
      </c>
    </row>
    <row r="22" spans="1:25" ht="48" customHeight="1" x14ac:dyDescent="0.45">
      <c r="A22" s="7" t="s">
        <v>7</v>
      </c>
      <c r="B22" s="7" t="s">
        <v>26</v>
      </c>
      <c r="C22" s="7" t="s">
        <v>27</v>
      </c>
      <c r="D22" s="7" t="s">
        <v>28</v>
      </c>
      <c r="E22" s="7" t="s">
        <v>29</v>
      </c>
      <c r="F22" s="7" t="s">
        <v>30</v>
      </c>
      <c r="G22" s="7" t="s">
        <v>31</v>
      </c>
      <c r="H22" s="7" t="s">
        <v>32</v>
      </c>
      <c r="I22" s="7" t="s">
        <v>33</v>
      </c>
      <c r="J22" s="7" t="s">
        <v>34</v>
      </c>
      <c r="K22" s="7" t="s">
        <v>35</v>
      </c>
      <c r="L22" s="7" t="s">
        <v>36</v>
      </c>
      <c r="M22" s="7" t="s">
        <v>37</v>
      </c>
      <c r="N22" s="7" t="s">
        <v>38</v>
      </c>
      <c r="O22" s="7" t="s">
        <v>39</v>
      </c>
      <c r="P22" s="7" t="s">
        <v>40</v>
      </c>
      <c r="Q22" s="7" t="s">
        <v>41</v>
      </c>
      <c r="R22" s="7" t="s">
        <v>42</v>
      </c>
      <c r="S22" s="7" t="s">
        <v>43</v>
      </c>
      <c r="T22" s="7" t="s">
        <v>44</v>
      </c>
      <c r="U22" s="7" t="s">
        <v>45</v>
      </c>
      <c r="V22" s="7" t="s">
        <v>46</v>
      </c>
      <c r="W22" s="7" t="s">
        <v>47</v>
      </c>
      <c r="X22" s="7" t="s">
        <v>18</v>
      </c>
      <c r="Y22" s="7" t="s">
        <v>19</v>
      </c>
    </row>
    <row r="23" spans="1:25" x14ac:dyDescent="0.45">
      <c r="A23" s="12" t="str">
        <f t="shared" ref="A23:A30" si="6">IF(A10="","",A10)</f>
        <v>Sector A</v>
      </c>
      <c r="B23" s="9">
        <f>IF($A23="","",SUMIFS(Servicios!$N$7:$N$106,Servicios!$A$7:$A$106,$A23,Servicios!$M$7:$M$106,"&lt;&gt;No"))</f>
        <v>2.5261000000000005</v>
      </c>
      <c r="C23" s="9">
        <f>IF($A23="","",SUMIFS(Servicios!$O$7:$O$106,Servicios!$A$7:$A$106,$A23,Servicios!$M$7:$M$106,"&lt;&gt;No"))</f>
        <v>0</v>
      </c>
      <c r="D23" s="9">
        <f>IF($A23="","",SUMIFS(Servicios!$P$7:$P$106,Servicios!$A$7:$A$106,$A23,Servicios!$M$7:$M$106,"&lt;&gt;No"))</f>
        <v>0.50522</v>
      </c>
      <c r="E23" s="9">
        <f>IF($A23="","",SUMIFS(Servicios!$R$7:$R$106,Servicios!$A$7:$A$106,$A23,Servicios!$M$7:$M$106,"&lt;&gt;No"))</f>
        <v>0</v>
      </c>
      <c r="F23" s="9">
        <f>IF($A23="","",SUMIFS(Servicios!$S$7:$S$106,Servicios!$A$7:$A$106,$A23,Servicios!$M$7:$M$106,"&lt;&gt;No"))</f>
        <v>0</v>
      </c>
      <c r="G23" s="9">
        <f>IF($A23="","",SUMIFS(Elevadores!$G$7:$G$36,Elevadores!$A$7:$A$36,$A23))</f>
        <v>0</v>
      </c>
      <c r="H23" s="9">
        <f>IF($A23="","",SUMIFS(Servicios!$Q$7:$Q$106,Servicios!$A$7:$A$106,$A23,Servicios!$M$7:$M$106,"&lt;&gt;No"))</f>
        <v>2.4040400000000002</v>
      </c>
      <c r="I23" s="13"/>
      <c r="J23" s="13"/>
      <c r="K23" s="13"/>
      <c r="L23" s="13"/>
      <c r="M23" s="13"/>
      <c r="N23" s="9">
        <f t="shared" ref="N23:N30" si="7">IF($A23="","",B23*IF(I23="",p_fdLuz,I23))</f>
        <v>2.5261000000000005</v>
      </c>
      <c r="O23" s="9">
        <f t="shared" ref="O23:O30" si="8">IF($A23="","",IF(p_rec44=1,IF(p_rec44Separado=1,(MIN(C23,t44_h1/1000)*t44_f1+MAX(0,C23-t44_h1/1000)*t44_f2)+(MIN(D23,t44_h1/1000)*t44_f1+MAX(0,D23-t44_h1/1000)*t44_f2),(MIN((C23+D23),t44_h1/1000)*t44_f1+MAX(0,(C23+D23)-t44_h1/1000)*t44_f2)),(C23+D23)*IF(J23="",p_fdRec,J23)))</f>
        <v>0.50522</v>
      </c>
      <c r="P23" s="9">
        <f t="shared" ref="P23:P30" si="9">IF($A23="","",E23*IF(K23="",p_fdEq,K23))</f>
        <v>0</v>
      </c>
      <c r="Q23" s="9">
        <f t="shared" ref="Q23:Q30" si="10">IF($A23="","",F23*IF(L23="",p_fdEsp,L23))</f>
        <v>0</v>
      </c>
      <c r="R23" s="9">
        <f>IF($A23="","",SUMIFS(Elevadores!$K$7:$K$36,Elevadores!$A$7:$A$36,$A23))</f>
        <v>0</v>
      </c>
      <c r="S23" s="9">
        <f t="shared" ref="S23:S30" si="11">IF($A23="","",H23*IF(M23="",p_fdHvac,M23))</f>
        <v>2.4040400000000002</v>
      </c>
      <c r="T23" s="10">
        <f t="shared" ref="T23:T30" si="12">IF($A23="","",B23+C23+D23+E23+F23+G23)</f>
        <v>3.0313200000000005</v>
      </c>
      <c r="U23" s="10">
        <f t="shared" ref="U23:U30" si="13">IF($A23="","",H23)</f>
        <v>2.4040400000000002</v>
      </c>
      <c r="V23" s="10">
        <f t="shared" ref="V23:V30" si="14">IF($A23="","",N23+O23+P23+Q23+R23)</f>
        <v>3.0313200000000005</v>
      </c>
      <c r="W23" s="10">
        <f t="shared" ref="W23:W30" si="15">IF($A23="","",S23)</f>
        <v>2.4040400000000002</v>
      </c>
      <c r="X23" s="11">
        <f t="shared" ref="X23:X30" si="16">IF($A23="","",V23+W23)</f>
        <v>5.4353600000000011</v>
      </c>
      <c r="Y23" s="12" t="str">
        <f t="shared" ref="Y23:Y30" si="17">IF($A23="","",IF(N(X23)&lt;=0,"",IF(X23&lt;=MAX(trafo_list),INDEX(trafo_list,SUMPRODUCT(--(trafo_list&lt;X23-0.000000001))+1)&amp;" kVA",ROUNDUP(X23/MAX(trafo_list),0)&amp;" × "&amp;MAX(trafo_list)&amp;" kVA")))</f>
        <v>15 kVA</v>
      </c>
    </row>
    <row r="24" spans="1:25" x14ac:dyDescent="0.45">
      <c r="A24" s="12" t="str">
        <f t="shared" si="6"/>
        <v/>
      </c>
      <c r="B24" s="9" t="str">
        <f>IF($A24="","",SUMIFS(Servicios!$N$7:$N$106,Servicios!$A$7:$A$106,$A24,Servicios!$M$7:$M$106,"&lt;&gt;No"))</f>
        <v/>
      </c>
      <c r="C24" s="9" t="str">
        <f>IF($A24="","",SUMIFS(Servicios!$O$7:$O$106,Servicios!$A$7:$A$106,$A24,Servicios!$M$7:$M$106,"&lt;&gt;No"))</f>
        <v/>
      </c>
      <c r="D24" s="9" t="str">
        <f>IF($A24="","",SUMIFS(Servicios!$P$7:$P$106,Servicios!$A$7:$A$106,$A24,Servicios!$M$7:$M$106,"&lt;&gt;No"))</f>
        <v/>
      </c>
      <c r="E24" s="9" t="str">
        <f>IF($A24="","",SUMIFS(Servicios!$R$7:$R$106,Servicios!$A$7:$A$106,$A24,Servicios!$M$7:$M$106,"&lt;&gt;No"))</f>
        <v/>
      </c>
      <c r="F24" s="9" t="str">
        <f>IF($A24="","",SUMIFS(Servicios!$S$7:$S$106,Servicios!$A$7:$A$106,$A24,Servicios!$M$7:$M$106,"&lt;&gt;No"))</f>
        <v/>
      </c>
      <c r="G24" s="9" t="str">
        <f>IF($A24="","",SUMIFS(Elevadores!$G$7:$G$36,Elevadores!$A$7:$A$36,$A24))</f>
        <v/>
      </c>
      <c r="H24" s="9" t="str">
        <f>IF($A24="","",SUMIFS(Servicios!$Q$7:$Q$106,Servicios!$A$7:$A$106,$A24,Servicios!$M$7:$M$106,"&lt;&gt;No"))</f>
        <v/>
      </c>
      <c r="I24" s="13"/>
      <c r="J24" s="13"/>
      <c r="K24" s="13"/>
      <c r="L24" s="13"/>
      <c r="M24" s="13"/>
      <c r="N24" s="9" t="str">
        <f t="shared" si="7"/>
        <v/>
      </c>
      <c r="O24" s="9" t="str">
        <f t="shared" si="8"/>
        <v/>
      </c>
      <c r="P24" s="9" t="str">
        <f t="shared" si="9"/>
        <v/>
      </c>
      <c r="Q24" s="9" t="str">
        <f t="shared" si="10"/>
        <v/>
      </c>
      <c r="R24" s="9" t="str">
        <f>IF($A24="","",SUMIFS(Elevadores!$K$7:$K$36,Elevadores!$A$7:$A$36,$A24))</f>
        <v/>
      </c>
      <c r="S24" s="9" t="str">
        <f t="shared" si="11"/>
        <v/>
      </c>
      <c r="T24" s="10" t="str">
        <f t="shared" si="12"/>
        <v/>
      </c>
      <c r="U24" s="10" t="str">
        <f t="shared" si="13"/>
        <v/>
      </c>
      <c r="V24" s="10" t="str">
        <f t="shared" si="14"/>
        <v/>
      </c>
      <c r="W24" s="10" t="str">
        <f t="shared" si="15"/>
        <v/>
      </c>
      <c r="X24" s="11" t="str">
        <f t="shared" si="16"/>
        <v/>
      </c>
      <c r="Y24" s="12" t="str">
        <f t="shared" si="17"/>
        <v/>
      </c>
    </row>
    <row r="25" spans="1:25" x14ac:dyDescent="0.45">
      <c r="A25" s="12" t="str">
        <f t="shared" si="6"/>
        <v/>
      </c>
      <c r="B25" s="9" t="str">
        <f>IF($A25="","",SUMIFS(Servicios!$N$7:$N$106,Servicios!$A$7:$A$106,$A25,Servicios!$M$7:$M$106,"&lt;&gt;No"))</f>
        <v/>
      </c>
      <c r="C25" s="9" t="str">
        <f>IF($A25="","",SUMIFS(Servicios!$O$7:$O$106,Servicios!$A$7:$A$106,$A25,Servicios!$M$7:$M$106,"&lt;&gt;No"))</f>
        <v/>
      </c>
      <c r="D25" s="9" t="str">
        <f>IF($A25="","",SUMIFS(Servicios!$P$7:$P$106,Servicios!$A$7:$A$106,$A25,Servicios!$M$7:$M$106,"&lt;&gt;No"))</f>
        <v/>
      </c>
      <c r="E25" s="9" t="str">
        <f>IF($A25="","",SUMIFS(Servicios!$R$7:$R$106,Servicios!$A$7:$A$106,$A25,Servicios!$M$7:$M$106,"&lt;&gt;No"))</f>
        <v/>
      </c>
      <c r="F25" s="9" t="str">
        <f>IF($A25="","",SUMIFS(Servicios!$S$7:$S$106,Servicios!$A$7:$A$106,$A25,Servicios!$M$7:$M$106,"&lt;&gt;No"))</f>
        <v/>
      </c>
      <c r="G25" s="9" t="str">
        <f>IF($A25="","",SUMIFS(Elevadores!$G$7:$G$36,Elevadores!$A$7:$A$36,$A25))</f>
        <v/>
      </c>
      <c r="H25" s="9" t="str">
        <f>IF($A25="","",SUMIFS(Servicios!$Q$7:$Q$106,Servicios!$A$7:$A$106,$A25,Servicios!$M$7:$M$106,"&lt;&gt;No"))</f>
        <v/>
      </c>
      <c r="I25" s="13"/>
      <c r="J25" s="13"/>
      <c r="K25" s="13"/>
      <c r="L25" s="13"/>
      <c r="M25" s="13"/>
      <c r="N25" s="9" t="str">
        <f t="shared" si="7"/>
        <v/>
      </c>
      <c r="O25" s="9" t="str">
        <f t="shared" si="8"/>
        <v/>
      </c>
      <c r="P25" s="9" t="str">
        <f t="shared" si="9"/>
        <v/>
      </c>
      <c r="Q25" s="9" t="str">
        <f t="shared" si="10"/>
        <v/>
      </c>
      <c r="R25" s="9" t="str">
        <f>IF($A25="","",SUMIFS(Elevadores!$K$7:$K$36,Elevadores!$A$7:$A$36,$A25))</f>
        <v/>
      </c>
      <c r="S25" s="9" t="str">
        <f t="shared" si="11"/>
        <v/>
      </c>
      <c r="T25" s="10" t="str">
        <f t="shared" si="12"/>
        <v/>
      </c>
      <c r="U25" s="10" t="str">
        <f t="shared" si="13"/>
        <v/>
      </c>
      <c r="V25" s="10" t="str">
        <f t="shared" si="14"/>
        <v/>
      </c>
      <c r="W25" s="10" t="str">
        <f t="shared" si="15"/>
        <v/>
      </c>
      <c r="X25" s="11" t="str">
        <f t="shared" si="16"/>
        <v/>
      </c>
      <c r="Y25" s="12" t="str">
        <f t="shared" si="17"/>
        <v/>
      </c>
    </row>
    <row r="26" spans="1:25" x14ac:dyDescent="0.45">
      <c r="A26" s="12" t="str">
        <f t="shared" si="6"/>
        <v/>
      </c>
      <c r="B26" s="9" t="str">
        <f>IF($A26="","",SUMIFS(Servicios!$N$7:$N$106,Servicios!$A$7:$A$106,$A26,Servicios!$M$7:$M$106,"&lt;&gt;No"))</f>
        <v/>
      </c>
      <c r="C26" s="9" t="str">
        <f>IF($A26="","",SUMIFS(Servicios!$O$7:$O$106,Servicios!$A$7:$A$106,$A26,Servicios!$M$7:$M$106,"&lt;&gt;No"))</f>
        <v/>
      </c>
      <c r="D26" s="9" t="str">
        <f>IF($A26="","",SUMIFS(Servicios!$P$7:$P$106,Servicios!$A$7:$A$106,$A26,Servicios!$M$7:$M$106,"&lt;&gt;No"))</f>
        <v/>
      </c>
      <c r="E26" s="9" t="str">
        <f>IF($A26="","",SUMIFS(Servicios!$R$7:$R$106,Servicios!$A$7:$A$106,$A26,Servicios!$M$7:$M$106,"&lt;&gt;No"))</f>
        <v/>
      </c>
      <c r="F26" s="9" t="str">
        <f>IF($A26="","",SUMIFS(Servicios!$S$7:$S$106,Servicios!$A$7:$A$106,$A26,Servicios!$M$7:$M$106,"&lt;&gt;No"))</f>
        <v/>
      </c>
      <c r="G26" s="9" t="str">
        <f>IF($A26="","",SUMIFS(Elevadores!$G$7:$G$36,Elevadores!$A$7:$A$36,$A26))</f>
        <v/>
      </c>
      <c r="H26" s="9" t="str">
        <f>IF($A26="","",SUMIFS(Servicios!$Q$7:$Q$106,Servicios!$A$7:$A$106,$A26,Servicios!$M$7:$M$106,"&lt;&gt;No"))</f>
        <v/>
      </c>
      <c r="I26" s="13"/>
      <c r="J26" s="13"/>
      <c r="K26" s="13"/>
      <c r="L26" s="13"/>
      <c r="M26" s="13"/>
      <c r="N26" s="9" t="str">
        <f t="shared" si="7"/>
        <v/>
      </c>
      <c r="O26" s="9" t="str">
        <f t="shared" si="8"/>
        <v/>
      </c>
      <c r="P26" s="9" t="str">
        <f t="shared" si="9"/>
        <v/>
      </c>
      <c r="Q26" s="9" t="str">
        <f t="shared" si="10"/>
        <v/>
      </c>
      <c r="R26" s="9" t="str">
        <f>IF($A26="","",SUMIFS(Elevadores!$K$7:$K$36,Elevadores!$A$7:$A$36,$A26))</f>
        <v/>
      </c>
      <c r="S26" s="9" t="str">
        <f t="shared" si="11"/>
        <v/>
      </c>
      <c r="T26" s="10" t="str">
        <f t="shared" si="12"/>
        <v/>
      </c>
      <c r="U26" s="10" t="str">
        <f t="shared" si="13"/>
        <v/>
      </c>
      <c r="V26" s="10" t="str">
        <f t="shared" si="14"/>
        <v/>
      </c>
      <c r="W26" s="10" t="str">
        <f t="shared" si="15"/>
        <v/>
      </c>
      <c r="X26" s="11" t="str">
        <f t="shared" si="16"/>
        <v/>
      </c>
      <c r="Y26" s="12" t="str">
        <f t="shared" si="17"/>
        <v/>
      </c>
    </row>
    <row r="27" spans="1:25" x14ac:dyDescent="0.45">
      <c r="A27" s="12" t="str">
        <f t="shared" si="6"/>
        <v/>
      </c>
      <c r="B27" s="9" t="str">
        <f>IF($A27="","",SUMIFS(Servicios!$N$7:$N$106,Servicios!$A$7:$A$106,$A27,Servicios!$M$7:$M$106,"&lt;&gt;No"))</f>
        <v/>
      </c>
      <c r="C27" s="9" t="str">
        <f>IF($A27="","",SUMIFS(Servicios!$O$7:$O$106,Servicios!$A$7:$A$106,$A27,Servicios!$M$7:$M$106,"&lt;&gt;No"))</f>
        <v/>
      </c>
      <c r="D27" s="9" t="str">
        <f>IF($A27="","",SUMIFS(Servicios!$P$7:$P$106,Servicios!$A$7:$A$106,$A27,Servicios!$M$7:$M$106,"&lt;&gt;No"))</f>
        <v/>
      </c>
      <c r="E27" s="9" t="str">
        <f>IF($A27="","",SUMIFS(Servicios!$R$7:$R$106,Servicios!$A$7:$A$106,$A27,Servicios!$M$7:$M$106,"&lt;&gt;No"))</f>
        <v/>
      </c>
      <c r="F27" s="9" t="str">
        <f>IF($A27="","",SUMIFS(Servicios!$S$7:$S$106,Servicios!$A$7:$A$106,$A27,Servicios!$M$7:$M$106,"&lt;&gt;No"))</f>
        <v/>
      </c>
      <c r="G27" s="9" t="str">
        <f>IF($A27="","",SUMIFS(Elevadores!$G$7:$G$36,Elevadores!$A$7:$A$36,$A27))</f>
        <v/>
      </c>
      <c r="H27" s="9" t="str">
        <f>IF($A27="","",SUMIFS(Servicios!$Q$7:$Q$106,Servicios!$A$7:$A$106,$A27,Servicios!$M$7:$M$106,"&lt;&gt;No"))</f>
        <v/>
      </c>
      <c r="I27" s="13"/>
      <c r="J27" s="13"/>
      <c r="K27" s="13"/>
      <c r="L27" s="13"/>
      <c r="M27" s="13"/>
      <c r="N27" s="9" t="str">
        <f t="shared" si="7"/>
        <v/>
      </c>
      <c r="O27" s="9" t="str">
        <f t="shared" si="8"/>
        <v/>
      </c>
      <c r="P27" s="9" t="str">
        <f t="shared" si="9"/>
        <v/>
      </c>
      <c r="Q27" s="9" t="str">
        <f t="shared" si="10"/>
        <v/>
      </c>
      <c r="R27" s="9" t="str">
        <f>IF($A27="","",SUMIFS(Elevadores!$K$7:$K$36,Elevadores!$A$7:$A$36,$A27))</f>
        <v/>
      </c>
      <c r="S27" s="9" t="str">
        <f t="shared" si="11"/>
        <v/>
      </c>
      <c r="T27" s="10" t="str">
        <f t="shared" si="12"/>
        <v/>
      </c>
      <c r="U27" s="10" t="str">
        <f t="shared" si="13"/>
        <v/>
      </c>
      <c r="V27" s="10" t="str">
        <f t="shared" si="14"/>
        <v/>
      </c>
      <c r="W27" s="10" t="str">
        <f t="shared" si="15"/>
        <v/>
      </c>
      <c r="X27" s="11" t="str">
        <f t="shared" si="16"/>
        <v/>
      </c>
      <c r="Y27" s="12" t="str">
        <f t="shared" si="17"/>
        <v/>
      </c>
    </row>
    <row r="28" spans="1:25" x14ac:dyDescent="0.45">
      <c r="A28" s="12" t="str">
        <f t="shared" si="6"/>
        <v/>
      </c>
      <c r="B28" s="9" t="str">
        <f>IF($A28="","",SUMIFS(Servicios!$N$7:$N$106,Servicios!$A$7:$A$106,$A28,Servicios!$M$7:$M$106,"&lt;&gt;No"))</f>
        <v/>
      </c>
      <c r="C28" s="9" t="str">
        <f>IF($A28="","",SUMIFS(Servicios!$O$7:$O$106,Servicios!$A$7:$A$106,$A28,Servicios!$M$7:$M$106,"&lt;&gt;No"))</f>
        <v/>
      </c>
      <c r="D28" s="9" t="str">
        <f>IF($A28="","",SUMIFS(Servicios!$P$7:$P$106,Servicios!$A$7:$A$106,$A28,Servicios!$M$7:$M$106,"&lt;&gt;No"))</f>
        <v/>
      </c>
      <c r="E28" s="9" t="str">
        <f>IF($A28="","",SUMIFS(Servicios!$R$7:$R$106,Servicios!$A$7:$A$106,$A28,Servicios!$M$7:$M$106,"&lt;&gt;No"))</f>
        <v/>
      </c>
      <c r="F28" s="9" t="str">
        <f>IF($A28="","",SUMIFS(Servicios!$S$7:$S$106,Servicios!$A$7:$A$106,$A28,Servicios!$M$7:$M$106,"&lt;&gt;No"))</f>
        <v/>
      </c>
      <c r="G28" s="9" t="str">
        <f>IF($A28="","",SUMIFS(Elevadores!$G$7:$G$36,Elevadores!$A$7:$A$36,$A28))</f>
        <v/>
      </c>
      <c r="H28" s="9" t="str">
        <f>IF($A28="","",SUMIFS(Servicios!$Q$7:$Q$106,Servicios!$A$7:$A$106,$A28,Servicios!$M$7:$M$106,"&lt;&gt;No"))</f>
        <v/>
      </c>
      <c r="I28" s="13"/>
      <c r="J28" s="13"/>
      <c r="K28" s="13"/>
      <c r="L28" s="13"/>
      <c r="M28" s="13"/>
      <c r="N28" s="9" t="str">
        <f t="shared" si="7"/>
        <v/>
      </c>
      <c r="O28" s="9" t="str">
        <f t="shared" si="8"/>
        <v/>
      </c>
      <c r="P28" s="9" t="str">
        <f t="shared" si="9"/>
        <v/>
      </c>
      <c r="Q28" s="9" t="str">
        <f t="shared" si="10"/>
        <v/>
      </c>
      <c r="R28" s="9" t="str">
        <f>IF($A28="","",SUMIFS(Elevadores!$K$7:$K$36,Elevadores!$A$7:$A$36,$A28))</f>
        <v/>
      </c>
      <c r="S28" s="9" t="str">
        <f t="shared" si="11"/>
        <v/>
      </c>
      <c r="T28" s="10" t="str">
        <f t="shared" si="12"/>
        <v/>
      </c>
      <c r="U28" s="10" t="str">
        <f t="shared" si="13"/>
        <v/>
      </c>
      <c r="V28" s="10" t="str">
        <f t="shared" si="14"/>
        <v/>
      </c>
      <c r="W28" s="10" t="str">
        <f t="shared" si="15"/>
        <v/>
      </c>
      <c r="X28" s="11" t="str">
        <f t="shared" si="16"/>
        <v/>
      </c>
      <c r="Y28" s="12" t="str">
        <f t="shared" si="17"/>
        <v/>
      </c>
    </row>
    <row r="29" spans="1:25" x14ac:dyDescent="0.45">
      <c r="A29" s="12" t="str">
        <f t="shared" si="6"/>
        <v/>
      </c>
      <c r="B29" s="9" t="str">
        <f>IF($A29="","",SUMIFS(Servicios!$N$7:$N$106,Servicios!$A$7:$A$106,$A29,Servicios!$M$7:$M$106,"&lt;&gt;No"))</f>
        <v/>
      </c>
      <c r="C29" s="9" t="str">
        <f>IF($A29="","",SUMIFS(Servicios!$O$7:$O$106,Servicios!$A$7:$A$106,$A29,Servicios!$M$7:$M$106,"&lt;&gt;No"))</f>
        <v/>
      </c>
      <c r="D29" s="9" t="str">
        <f>IF($A29="","",SUMIFS(Servicios!$P$7:$P$106,Servicios!$A$7:$A$106,$A29,Servicios!$M$7:$M$106,"&lt;&gt;No"))</f>
        <v/>
      </c>
      <c r="E29" s="9" t="str">
        <f>IF($A29="","",SUMIFS(Servicios!$R$7:$R$106,Servicios!$A$7:$A$106,$A29,Servicios!$M$7:$M$106,"&lt;&gt;No"))</f>
        <v/>
      </c>
      <c r="F29" s="9" t="str">
        <f>IF($A29="","",SUMIFS(Servicios!$S$7:$S$106,Servicios!$A$7:$A$106,$A29,Servicios!$M$7:$M$106,"&lt;&gt;No"))</f>
        <v/>
      </c>
      <c r="G29" s="9" t="str">
        <f>IF($A29="","",SUMIFS(Elevadores!$G$7:$G$36,Elevadores!$A$7:$A$36,$A29))</f>
        <v/>
      </c>
      <c r="H29" s="9" t="str">
        <f>IF($A29="","",SUMIFS(Servicios!$Q$7:$Q$106,Servicios!$A$7:$A$106,$A29,Servicios!$M$7:$M$106,"&lt;&gt;No"))</f>
        <v/>
      </c>
      <c r="I29" s="13"/>
      <c r="J29" s="13"/>
      <c r="K29" s="13"/>
      <c r="L29" s="13"/>
      <c r="M29" s="13"/>
      <c r="N29" s="9" t="str">
        <f t="shared" si="7"/>
        <v/>
      </c>
      <c r="O29" s="9" t="str">
        <f t="shared" si="8"/>
        <v/>
      </c>
      <c r="P29" s="9" t="str">
        <f t="shared" si="9"/>
        <v/>
      </c>
      <c r="Q29" s="9" t="str">
        <f t="shared" si="10"/>
        <v/>
      </c>
      <c r="R29" s="9" t="str">
        <f>IF($A29="","",SUMIFS(Elevadores!$K$7:$K$36,Elevadores!$A$7:$A$36,$A29))</f>
        <v/>
      </c>
      <c r="S29" s="9" t="str">
        <f t="shared" si="11"/>
        <v/>
      </c>
      <c r="T29" s="10" t="str">
        <f t="shared" si="12"/>
        <v/>
      </c>
      <c r="U29" s="10" t="str">
        <f t="shared" si="13"/>
        <v/>
      </c>
      <c r="V29" s="10" t="str">
        <f t="shared" si="14"/>
        <v/>
      </c>
      <c r="W29" s="10" t="str">
        <f t="shared" si="15"/>
        <v/>
      </c>
      <c r="X29" s="11" t="str">
        <f t="shared" si="16"/>
        <v/>
      </c>
      <c r="Y29" s="12" t="str">
        <f t="shared" si="17"/>
        <v/>
      </c>
    </row>
    <row r="30" spans="1:25" x14ac:dyDescent="0.45">
      <c r="A30" s="12" t="str">
        <f t="shared" si="6"/>
        <v/>
      </c>
      <c r="B30" s="9" t="str">
        <f>IF($A30="","",SUMIFS(Servicios!$N$7:$N$106,Servicios!$A$7:$A$106,$A30,Servicios!$M$7:$M$106,"&lt;&gt;No"))</f>
        <v/>
      </c>
      <c r="C30" s="9" t="str">
        <f>IF($A30="","",SUMIFS(Servicios!$O$7:$O$106,Servicios!$A$7:$A$106,$A30,Servicios!$M$7:$M$106,"&lt;&gt;No"))</f>
        <v/>
      </c>
      <c r="D30" s="9" t="str">
        <f>IF($A30="","",SUMIFS(Servicios!$P$7:$P$106,Servicios!$A$7:$A$106,$A30,Servicios!$M$7:$M$106,"&lt;&gt;No"))</f>
        <v/>
      </c>
      <c r="E30" s="9" t="str">
        <f>IF($A30="","",SUMIFS(Servicios!$R$7:$R$106,Servicios!$A$7:$A$106,$A30,Servicios!$M$7:$M$106,"&lt;&gt;No"))</f>
        <v/>
      </c>
      <c r="F30" s="9" t="str">
        <f>IF($A30="","",SUMIFS(Servicios!$S$7:$S$106,Servicios!$A$7:$A$106,$A30,Servicios!$M$7:$M$106,"&lt;&gt;No"))</f>
        <v/>
      </c>
      <c r="G30" s="9" t="str">
        <f>IF($A30="","",SUMIFS(Elevadores!$G$7:$G$36,Elevadores!$A$7:$A$36,$A30))</f>
        <v/>
      </c>
      <c r="H30" s="9" t="str">
        <f>IF($A30="","",SUMIFS(Servicios!$Q$7:$Q$106,Servicios!$A$7:$A$106,$A30,Servicios!$M$7:$M$106,"&lt;&gt;No"))</f>
        <v/>
      </c>
      <c r="I30" s="13"/>
      <c r="J30" s="13"/>
      <c r="K30" s="13"/>
      <c r="L30" s="13"/>
      <c r="M30" s="13"/>
      <c r="N30" s="9" t="str">
        <f t="shared" si="7"/>
        <v/>
      </c>
      <c r="O30" s="9" t="str">
        <f t="shared" si="8"/>
        <v/>
      </c>
      <c r="P30" s="9" t="str">
        <f t="shared" si="9"/>
        <v/>
      </c>
      <c r="Q30" s="9" t="str">
        <f t="shared" si="10"/>
        <v/>
      </c>
      <c r="R30" s="9" t="str">
        <f>IF($A30="","",SUMIFS(Elevadores!$K$7:$K$36,Elevadores!$A$7:$A$36,$A30))</f>
        <v/>
      </c>
      <c r="S30" s="9" t="str">
        <f t="shared" si="11"/>
        <v/>
      </c>
      <c r="T30" s="10" t="str">
        <f t="shared" si="12"/>
        <v/>
      </c>
      <c r="U30" s="10" t="str">
        <f t="shared" si="13"/>
        <v/>
      </c>
      <c r="V30" s="10" t="str">
        <f t="shared" si="14"/>
        <v/>
      </c>
      <c r="W30" s="10" t="str">
        <f t="shared" si="15"/>
        <v/>
      </c>
      <c r="X30" s="11" t="str">
        <f t="shared" si="16"/>
        <v/>
      </c>
      <c r="Y30" s="12" t="str">
        <f t="shared" si="17"/>
        <v/>
      </c>
    </row>
    <row r="31" spans="1:25" x14ac:dyDescent="0.45">
      <c r="A31" s="14" t="s">
        <v>23</v>
      </c>
      <c r="B31" s="15">
        <f t="shared" ref="B31:H31" si="18">SUM(B23:B30)</f>
        <v>2.5261000000000005</v>
      </c>
      <c r="C31" s="15">
        <f t="shared" si="18"/>
        <v>0</v>
      </c>
      <c r="D31" s="15">
        <f t="shared" si="18"/>
        <v>0.50522</v>
      </c>
      <c r="E31" s="15">
        <f t="shared" si="18"/>
        <v>0</v>
      </c>
      <c r="F31" s="15">
        <f t="shared" si="18"/>
        <v>0</v>
      </c>
      <c r="G31" s="15">
        <f t="shared" si="18"/>
        <v>0</v>
      </c>
      <c r="H31" s="15">
        <f t="shared" si="18"/>
        <v>2.4040400000000002</v>
      </c>
      <c r="N31" s="15">
        <f t="shared" ref="N31:X31" si="19">SUM(N23:N30)</f>
        <v>2.5261000000000005</v>
      </c>
      <c r="O31" s="15">
        <f t="shared" si="19"/>
        <v>0.50522</v>
      </c>
      <c r="P31" s="15">
        <f t="shared" si="19"/>
        <v>0</v>
      </c>
      <c r="Q31" s="15">
        <f t="shared" si="19"/>
        <v>0</v>
      </c>
      <c r="R31" s="15">
        <f t="shared" si="19"/>
        <v>0</v>
      </c>
      <c r="S31" s="15">
        <f t="shared" si="19"/>
        <v>2.4040400000000002</v>
      </c>
      <c r="T31" s="15">
        <f t="shared" si="19"/>
        <v>3.0313200000000005</v>
      </c>
      <c r="U31" s="15">
        <f t="shared" si="19"/>
        <v>2.4040400000000002</v>
      </c>
      <c r="V31" s="15">
        <f t="shared" si="19"/>
        <v>3.0313200000000005</v>
      </c>
      <c r="W31" s="15">
        <f t="shared" si="19"/>
        <v>2.4040400000000002</v>
      </c>
      <c r="X31" s="15">
        <f t="shared" si="19"/>
        <v>5.4353600000000011</v>
      </c>
    </row>
    <row r="33" spans="1:11" x14ac:dyDescent="0.45">
      <c r="A33" s="2" t="s">
        <v>48</v>
      </c>
    </row>
    <row r="34" spans="1:11" x14ac:dyDescent="0.45">
      <c r="A34" s="7" t="s">
        <v>49</v>
      </c>
      <c r="B34" s="7" t="s">
        <v>50</v>
      </c>
      <c r="C34" s="7" t="s">
        <v>51</v>
      </c>
      <c r="D34" s="7" t="s">
        <v>52</v>
      </c>
      <c r="E34" s="7" t="s">
        <v>53</v>
      </c>
      <c r="F34" s="7" t="s">
        <v>54</v>
      </c>
      <c r="G34" s="7" t="s">
        <v>55</v>
      </c>
      <c r="J34" s="2" t="s">
        <v>56</v>
      </c>
    </row>
    <row r="35" spans="1:11" x14ac:dyDescent="0.45">
      <c r="A35" s="17" t="s">
        <v>57</v>
      </c>
      <c r="B35" s="17" t="s">
        <v>58</v>
      </c>
      <c r="C35" s="10">
        <f>($K$35+$K$36+$K$37+$K$40)</f>
        <v>133.90631999999999</v>
      </c>
      <c r="D35" s="10">
        <f>C35*p_pf</f>
        <v>120.515688</v>
      </c>
      <c r="E35" s="18">
        <f>IF(C35=0,"",G35/C35)</f>
        <v>0.68032315427681089</v>
      </c>
      <c r="F35" s="10">
        <f>G35*p_pf</f>
        <v>81.989613000000006</v>
      </c>
      <c r="G35" s="10">
        <f>IF(p_proyServSeparado=1,IF(p_tablaIncluyeEquipos=1,(MIN(($K$35+$K$36+$K$37),t42_h1/1000)*t42_f1+MAX(0,MIN(($K$35+$K$36+$K$37),t42_h2/1000)-t42_h1/1000)*t42_f2+MAX(0,($K$35+$K$36+$K$37)-t42_h2/1000)*t42_f3),(MIN($K$35,t42_h1/1000)*t42_f1+MAX(0,MIN($K$35,t42_h2/1000)-t42_h1/1000)*t42_f2+MAX(0,$K$35-t42_h2/1000)*t42_f3)+$K$36*p_applFD+IF($K$38=0,0,IF($K$38&lt;=5,INDEX({8,11,14,17,20},$K$38),IF($K$38&lt;=30,15+$K$38,25+0.75*$K$38))*IF($K$37/$K$38&gt;12,1+0.05*ROUNDUP($K$37/$K$38-12,0),1)))+$K$42,IF(p_tablaIncluyeEquipos=1,(MIN((($K$35+$K$40)+$K$36+$K$37),t42_h1/1000)*t42_f1+MAX(0,MIN((($K$35+$K$40)+$K$36+$K$37),t42_h2/1000)-t42_h1/1000)*t42_f2+MAX(0,(($K$35+$K$40)+$K$36+$K$37)-t42_h2/1000)*t42_f3),(MIN(($K$35+$K$40),t42_h1/1000)*t42_f1+MAX(0,MIN(($K$35+$K$40),t42_h2/1000)-t42_h1/1000)*t42_f2+MAX(0,($K$35+$K$40)-t42_h2/1000)*t42_f3)+$K$36*p_applFD+IF($K$38=0,0,IF($K$38&lt;=5,INDEX({8,11,14,17,20},$K$38),IF($K$38&lt;=30,15+$K$38,25+0.75*$K$38))*IF($K$37/$K$38&gt;12,1+0.05*ROUNDUP($K$37/$K$38-12,0),1))))</f>
        <v>91.09957</v>
      </c>
      <c r="J35" s="17" t="s">
        <v>59</v>
      </c>
      <c r="K35" s="9">
        <f>SUM(C10:C17)</f>
        <v>42.595000000000006</v>
      </c>
    </row>
    <row r="36" spans="1:11" x14ac:dyDescent="0.45">
      <c r="A36" s="17" t="s">
        <v>60</v>
      </c>
      <c r="B36" s="17" t="s">
        <v>61</v>
      </c>
      <c r="C36" s="10">
        <f>($K$39+$K$41)</f>
        <v>57.756040000000006</v>
      </c>
      <c r="D36" s="10">
        <f>C36*p_pf</f>
        <v>51.980436000000005</v>
      </c>
      <c r="E36" s="18">
        <f>IF(C36=0,"",G36/C36)</f>
        <v>1</v>
      </c>
      <c r="F36" s="10">
        <f>G36*p_pf</f>
        <v>51.980436000000005</v>
      </c>
      <c r="G36" s="10">
        <f>IF(p_proyServSeparado=1,$K$39*p_hvacProjFD+$K$43,($K$39+$K$41)*p_hvacProjFD)</f>
        <v>57.756040000000006</v>
      </c>
      <c r="J36" s="17" t="s">
        <v>62</v>
      </c>
      <c r="K36" s="9">
        <f>SUM(D10:D17)</f>
        <v>84.28</v>
      </c>
    </row>
    <row r="37" spans="1:11" x14ac:dyDescent="0.45">
      <c r="A37" s="14" t="s">
        <v>23</v>
      </c>
      <c r="B37" s="19"/>
      <c r="C37" s="15">
        <f>C35+C36</f>
        <v>191.66236000000001</v>
      </c>
      <c r="D37" s="15">
        <f>C37*p_pf</f>
        <v>172.49612400000001</v>
      </c>
      <c r="E37" s="20">
        <f>IF(C37=0,"",G37/C37)</f>
        <v>0.77665541632691992</v>
      </c>
      <c r="F37" s="15">
        <f>G37*p_pf</f>
        <v>133.97004900000002</v>
      </c>
      <c r="G37" s="15">
        <f>G35+G36</f>
        <v>148.85561000000001</v>
      </c>
      <c r="J37" s="17" t="s">
        <v>63</v>
      </c>
      <c r="K37" s="9">
        <f>SUM(E10:E17)</f>
        <v>4</v>
      </c>
    </row>
    <row r="38" spans="1:11" x14ac:dyDescent="0.45">
      <c r="A38" s="17" t="s">
        <v>64</v>
      </c>
      <c r="C38" s="10">
        <f>p_fCoinc</f>
        <v>1</v>
      </c>
      <c r="J38" s="17" t="s">
        <v>65</v>
      </c>
      <c r="K38" s="8">
        <f>SUM(F10:F17)</f>
        <v>1</v>
      </c>
    </row>
    <row r="39" spans="1:11" x14ac:dyDescent="0.45">
      <c r="A39" s="4" t="s">
        <v>66</v>
      </c>
      <c r="G39" s="15">
        <f>G37*p_fCoinc</f>
        <v>148.85561000000001</v>
      </c>
      <c r="J39" s="17" t="s">
        <v>67</v>
      </c>
      <c r="K39" s="9">
        <f>SUM(G10:G17)</f>
        <v>55.352000000000004</v>
      </c>
    </row>
    <row r="40" spans="1:11" x14ac:dyDescent="0.45">
      <c r="A40" s="4" t="s">
        <v>68</v>
      </c>
      <c r="G40" s="14" t="str">
        <f>IF(N(G39)&lt;=0,"",IF(G39&lt;=MAX(trafo_list),INDEX(trafo_list,SUMPRODUCT(--(trafo_list&lt;G39-0.000000001))+1)&amp;" kVA",ROUNDUP(G39/MAX(trafo_list),0)&amp;" × "&amp;MAX(trafo_list)&amp;" kVA"))</f>
        <v>150 kVA</v>
      </c>
      <c r="J40" s="17" t="s">
        <v>69</v>
      </c>
      <c r="K40" s="9">
        <f>T31</f>
        <v>3.0313200000000005</v>
      </c>
    </row>
    <row r="41" spans="1:11" x14ac:dyDescent="0.45">
      <c r="A41" s="4" t="s">
        <v>70</v>
      </c>
      <c r="B41" s="21" t="s">
        <v>71</v>
      </c>
      <c r="C41" t="s">
        <v>72</v>
      </c>
      <c r="J41" s="17" t="s">
        <v>73</v>
      </c>
      <c r="K41" s="9">
        <f>U31</f>
        <v>2.4040400000000002</v>
      </c>
    </row>
    <row r="42" spans="1:11" x14ac:dyDescent="0.45">
      <c r="A42" s="17" t="s">
        <v>74</v>
      </c>
      <c r="C42" s="8">
        <f>B18</f>
        <v>1</v>
      </c>
      <c r="D42" s="22" t="str">
        <f>IF(OR(B41&lt;&gt;"Sí",C42&lt;3),"",INDEX(t84_f,SUMPRODUCT(--(t84_h&lt;C42))+1))</f>
        <v/>
      </c>
      <c r="G42" s="10" t="str">
        <f>IF(D42="","",(H18+I18)*D42)</f>
        <v/>
      </c>
      <c r="J42" s="17" t="s">
        <v>75</v>
      </c>
      <c r="K42" s="9">
        <f>V31</f>
        <v>3.0313200000000005</v>
      </c>
    </row>
    <row r="43" spans="1:11" x14ac:dyDescent="0.45">
      <c r="A43" s="2" t="s">
        <v>76</v>
      </c>
      <c r="J43" s="17" t="s">
        <v>77</v>
      </c>
      <c r="K43" s="9">
        <f>W31</f>
        <v>2.4040400000000002</v>
      </c>
    </row>
    <row r="44" spans="1:11" x14ac:dyDescent="0.45">
      <c r="A44" s="4" t="s">
        <v>78</v>
      </c>
      <c r="B44" s="5" t="s">
        <v>22</v>
      </c>
    </row>
    <row r="45" spans="1:11" x14ac:dyDescent="0.45">
      <c r="A45" s="7" t="s">
        <v>49</v>
      </c>
      <c r="B45" s="7" t="s">
        <v>79</v>
      </c>
      <c r="C45" s="7" t="s">
        <v>51</v>
      </c>
      <c r="D45" s="7" t="s">
        <v>52</v>
      </c>
      <c r="E45" s="7" t="s">
        <v>53</v>
      </c>
      <c r="F45" s="7" t="s">
        <v>55</v>
      </c>
      <c r="G45" s="7" t="s">
        <v>54</v>
      </c>
    </row>
    <row r="46" spans="1:11" x14ac:dyDescent="0.45">
      <c r="A46" s="17" t="s">
        <v>80</v>
      </c>
      <c r="B46" s="17" t="s">
        <v>81</v>
      </c>
      <c r="C46" s="10">
        <f>IFERROR(INDEX($B$23:$B$30,MATCH($B$44,$A$23:$A$30,0)),0)</f>
        <v>2.5261000000000005</v>
      </c>
      <c r="D46" s="10">
        <f t="shared" ref="D46:D51" si="20">C46*p_pf</f>
        <v>2.2734900000000007</v>
      </c>
      <c r="E46" s="18">
        <f t="shared" ref="E46:E52" si="21">IF(C46=0,"",F46/C46)</f>
        <v>1</v>
      </c>
      <c r="F46" s="10">
        <f>IFERROR(INDEX($N$23:$N$30,MATCH($B$44,$A$23:$A$30,0)),0)</f>
        <v>2.5261000000000005</v>
      </c>
      <c r="G46" s="10">
        <f t="shared" ref="G46:G51" si="22">F46*p_pf</f>
        <v>2.2734900000000007</v>
      </c>
    </row>
    <row r="47" spans="1:11" x14ac:dyDescent="0.45">
      <c r="A47" s="17" t="s">
        <v>82</v>
      </c>
      <c r="B47" s="17" t="s">
        <v>83</v>
      </c>
      <c r="C47" s="10">
        <f>IFERROR(INDEX($C$23:$C$30,MATCH($B$44,$A$23:$A$30,0))+INDEX($D$23:$D$30,MATCH($B$44,$A$23:$A$30,0)),0)</f>
        <v>0.50522</v>
      </c>
      <c r="D47" s="10">
        <f t="shared" si="20"/>
        <v>0.45469799999999999</v>
      </c>
      <c r="E47" s="18">
        <f t="shared" si="21"/>
        <v>1</v>
      </c>
      <c r="F47" s="10">
        <f>IFERROR(INDEX($O$23:$O$30,MATCH($B$44,$A$23:$A$30,0)),0)</f>
        <v>0.50522</v>
      </c>
      <c r="G47" s="10">
        <f t="shared" si="22"/>
        <v>0.45469799999999999</v>
      </c>
    </row>
    <row r="48" spans="1:11" x14ac:dyDescent="0.45">
      <c r="A48" s="17" t="s">
        <v>84</v>
      </c>
      <c r="B48" s="17" t="s">
        <v>85</v>
      </c>
      <c r="C48" s="10">
        <f>IFERROR(INDEX($E$23:$E$30,MATCH($B$44,$A$23:$A$30,0)),0)</f>
        <v>0</v>
      </c>
      <c r="D48" s="10">
        <f t="shared" si="20"/>
        <v>0</v>
      </c>
      <c r="E48" s="18" t="str">
        <f t="shared" si="21"/>
        <v/>
      </c>
      <c r="F48" s="10">
        <f>IFERROR(INDEX($P$23:$P$30,MATCH($B$44,$A$23:$A$30,0)),0)</f>
        <v>0</v>
      </c>
      <c r="G48" s="10">
        <f t="shared" si="22"/>
        <v>0</v>
      </c>
    </row>
    <row r="49" spans="1:7" x14ac:dyDescent="0.45">
      <c r="A49" s="17" t="s">
        <v>86</v>
      </c>
      <c r="B49" s="17" t="s">
        <v>87</v>
      </c>
      <c r="C49" s="10">
        <f>IFERROR(INDEX($F$23:$F$30,MATCH($B$44,$A$23:$A$30,0)),0)</f>
        <v>0</v>
      </c>
      <c r="D49" s="10">
        <f t="shared" si="20"/>
        <v>0</v>
      </c>
      <c r="E49" s="18" t="str">
        <f t="shared" si="21"/>
        <v/>
      </c>
      <c r="F49" s="10">
        <f>IFERROR(INDEX($Q$23:$Q$30,MATCH($B$44,$A$23:$A$30,0)),0)</f>
        <v>0</v>
      </c>
      <c r="G49" s="10">
        <f t="shared" si="22"/>
        <v>0</v>
      </c>
    </row>
    <row r="50" spans="1:7" x14ac:dyDescent="0.45">
      <c r="A50" s="17" t="s">
        <v>88</v>
      </c>
      <c r="B50" s="17" t="s">
        <v>89</v>
      </c>
      <c r="C50" s="10">
        <f>IFERROR(INDEX($G$23:$G$30,MATCH($B$44,$A$23:$A$30,0)),0)</f>
        <v>0</v>
      </c>
      <c r="D50" s="10">
        <f t="shared" si="20"/>
        <v>0</v>
      </c>
      <c r="E50" s="18" t="str">
        <f t="shared" si="21"/>
        <v/>
      </c>
      <c r="F50" s="10">
        <f>IFERROR(INDEX($R$23:$R$30,MATCH($B$44,$A$23:$A$30,0)),0)</f>
        <v>0</v>
      </c>
      <c r="G50" s="10">
        <f t="shared" si="22"/>
        <v>0</v>
      </c>
    </row>
    <row r="51" spans="1:7" x14ac:dyDescent="0.45">
      <c r="A51" s="17" t="s">
        <v>90</v>
      </c>
      <c r="B51" s="17" t="s">
        <v>61</v>
      </c>
      <c r="C51" s="10">
        <f>IFERROR(INDEX($H$23:$H$30,MATCH($B$44,$A$23:$A$30,0)),0)</f>
        <v>2.4040400000000002</v>
      </c>
      <c r="D51" s="10">
        <f t="shared" si="20"/>
        <v>2.1636360000000003</v>
      </c>
      <c r="E51" s="18">
        <f t="shared" si="21"/>
        <v>1</v>
      </c>
      <c r="F51" s="10">
        <f>IFERROR(INDEX($S$23:$S$30,MATCH($B$44,$A$23:$A$30,0)),0)</f>
        <v>2.4040400000000002</v>
      </c>
      <c r="G51" s="10">
        <f t="shared" si="22"/>
        <v>2.1636360000000003</v>
      </c>
    </row>
    <row r="52" spans="1:7" x14ac:dyDescent="0.45">
      <c r="A52" s="14" t="s">
        <v>23</v>
      </c>
      <c r="B52" s="19"/>
      <c r="C52" s="15">
        <f>SUM(C46:C51)</f>
        <v>5.4353600000000011</v>
      </c>
      <c r="D52" s="15">
        <f>SUM(D46:D51)</f>
        <v>4.8918240000000015</v>
      </c>
      <c r="E52" s="20">
        <f t="shared" si="21"/>
        <v>1</v>
      </c>
      <c r="F52" s="15">
        <f>SUM(F46:F51)</f>
        <v>5.4353600000000011</v>
      </c>
      <c r="G52" s="15">
        <f>SUM(G46:G51)</f>
        <v>4.8918240000000015</v>
      </c>
    </row>
    <row r="53" spans="1:7" x14ac:dyDescent="0.45">
      <c r="A53" s="4" t="s">
        <v>91</v>
      </c>
      <c r="F53" s="14" t="str">
        <f>IF(N(F52)&lt;=0,"",IF(F52&lt;=MAX(trafo_list),INDEX(trafo_list,SUMPRODUCT(--(trafo_list&lt;F52-0.000000001))+1)&amp;" kVA",ROUNDUP(F52/MAX(trafo_list),0)&amp;" × "&amp;MAX(trafo_list)&amp;" kVA"))</f>
        <v>15 kVA</v>
      </c>
    </row>
  </sheetData>
  <mergeCells count="5">
    <mergeCell ref="B3:E3"/>
    <mergeCell ref="B4:E4"/>
    <mergeCell ref="B5:E5"/>
    <mergeCell ref="B6:E6"/>
    <mergeCell ref="G3:I3"/>
  </mergeCells>
  <dataValidations count="2">
    <dataValidation type="list" showInputMessage="1" showErrorMessage="1" sqref="B41" xr:uid="{00000000-0002-0000-0100-000000000000}">
      <formula1>"Sí,No"</formula1>
    </dataValidation>
    <dataValidation type="list" showInputMessage="1" showErrorMessage="1" sqref="B44" xr:uid="{00000000-0002-0000-0100-000001000000}">
      <formula1>list_sectores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ExportarPDF">
                <anchor>
                  <from>
                    <xdr:col>8</xdr:col>
                    <xdr:colOff>1181100</xdr:colOff>
                    <xdr:row>2</xdr:row>
                    <xdr:rowOff>0</xdr:rowOff>
                  </from>
                  <to>
                    <xdr:col>9</xdr:col>
                    <xdr:colOff>1609725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55"/>
  <sheetViews>
    <sheetView workbookViewId="0">
      <pane ySplit="5" topLeftCell="A6" activePane="bottomLeft" state="frozen"/>
      <selection pane="bottomLeft"/>
    </sheetView>
  </sheetViews>
  <sheetFormatPr defaultRowHeight="14.25" x14ac:dyDescent="0.45"/>
  <cols>
    <col min="1" max="1" width="5" customWidth="1"/>
    <col min="2" max="2" width="14" customWidth="1"/>
    <col min="3" max="3" width="26" customWidth="1"/>
    <col min="4" max="4" width="18" customWidth="1"/>
    <col min="5" max="5" width="10" customWidth="1"/>
    <col min="6" max="8" width="11" customWidth="1"/>
    <col min="9" max="9" width="8" customWidth="1"/>
    <col min="10" max="11" width="10" customWidth="1"/>
    <col min="12" max="13" width="8" customWidth="1"/>
  </cols>
  <sheetData>
    <row r="1" spans="1:13" ht="18" x14ac:dyDescent="0.55000000000000004">
      <c r="A1" s="3" t="s">
        <v>111</v>
      </c>
    </row>
    <row r="2" spans="1:13" x14ac:dyDescent="0.45">
      <c r="A2" s="16" t="s">
        <v>112</v>
      </c>
    </row>
    <row r="5" spans="1:13" ht="28.5" x14ac:dyDescent="0.45">
      <c r="A5" s="7" t="s">
        <v>113</v>
      </c>
      <c r="B5" s="7" t="s">
        <v>7</v>
      </c>
      <c r="C5" s="7" t="s">
        <v>114</v>
      </c>
      <c r="D5" s="7" t="s">
        <v>115</v>
      </c>
      <c r="E5" s="7" t="s">
        <v>116</v>
      </c>
      <c r="F5" s="7" t="s">
        <v>117</v>
      </c>
      <c r="G5" s="7" t="s">
        <v>51</v>
      </c>
      <c r="H5" s="7" t="s">
        <v>55</v>
      </c>
      <c r="I5" s="7" t="s">
        <v>118</v>
      </c>
      <c r="J5" s="7" t="s">
        <v>119</v>
      </c>
      <c r="K5" s="7" t="s">
        <v>120</v>
      </c>
      <c r="L5" s="7" t="s">
        <v>121</v>
      </c>
      <c r="M5" s="7" t="s">
        <v>122</v>
      </c>
    </row>
    <row r="6" spans="1:13" x14ac:dyDescent="0.45">
      <c r="A6" s="23">
        <v>1</v>
      </c>
      <c r="B6" s="12" t="str">
        <f>IF(INDEX(Viviendas!$C$4:$AZ$4,$A6)="","",INDEX(Viviendas!$C$3:$AZ$3,$A6))</f>
        <v>Sector A</v>
      </c>
      <c r="C6" s="12" t="str">
        <f>IF(INDEX(Viviendas!$C$4:$AZ$4,$A6)="","",INDEX(Viviendas!$C$5:$AZ$5,$A6))</f>
        <v>Tablero TP</v>
      </c>
      <c r="D6" s="24" t="str">
        <f>IF(INDEX(Viviendas!$C$4:$AZ$4,$A6)="","",INDEX(Viviendas!$C$4:$AZ$4,$A6))</f>
        <v>1</v>
      </c>
      <c r="E6" s="12">
        <f>IF(INDEX(Viviendas!$C$4:$AZ$4,$A6)="","",INDEX(Viviendas!$C$6:$AZ$6,$A6))</f>
        <v>1</v>
      </c>
      <c r="F6" s="10">
        <f>IF(INDEX(Viviendas!$C$4:$AZ$4,$A6)="","",INDEX(Viviendas!$C$7:$AZ$7,$A6))</f>
        <v>629</v>
      </c>
      <c r="G6" s="10">
        <f>IF(INDEX(Viviendas!$C$4:$AZ$4,$A6)="","",INDEX(Viviendas!$C$99:$AZ$99,$A6))</f>
        <v>186.227</v>
      </c>
      <c r="H6" s="10">
        <f>IF(INDEX(Viviendas!$C$4:$AZ$4,$A6)="","",INDEX(Viviendas!$C$85:$AZ$85,$A6))</f>
        <v>84.913600000000002</v>
      </c>
      <c r="I6" s="18">
        <f>IF(INDEX(Viviendas!$C$4:$AZ$4,$A6)="","",INDEX(Viviendas!$C$83:$AZ$83,$A6))</f>
        <v>0.63433874987300309</v>
      </c>
      <c r="J6" s="25">
        <f>IF(INDEX(Viviendas!$C$4:$AZ$4,$A6)="","",INDEX(Viviendas!$C$86:$AZ$86,$A6))</f>
        <v>353.80666666666667</v>
      </c>
      <c r="K6" s="12">
        <f>IF(INDEX(Viviendas!$C$4:$AZ$4,$A6)="","",INDEX(Viviendas!$C$88:$AZ$88,$A6))</f>
        <v>450</v>
      </c>
      <c r="L6" s="12" t="str">
        <f>IF(INDEX(Viviendas!$C$4:$AZ$4,$A6)="","",INDEX(Viviendas!$C$89:$AZ$89,$A6))</f>
        <v>600</v>
      </c>
      <c r="M6" s="12" t="str">
        <f>IF(INDEX(Viviendas!$C$4:$AZ$4,$A6)="","",INDEX(Viviendas!$C$90:$AZ$90,$A6))</f>
        <v>900</v>
      </c>
    </row>
    <row r="7" spans="1:13" x14ac:dyDescent="0.45">
      <c r="A7" s="23">
        <v>2</v>
      </c>
      <c r="B7" s="12" t="str">
        <f>IF(INDEX(Viviendas!$C$4:$AZ$4,$A7)="","",INDEX(Viviendas!$C$3:$AZ$3,$A7))</f>
        <v/>
      </c>
      <c r="C7" s="12" t="str">
        <f>IF(INDEX(Viviendas!$C$4:$AZ$4,$A7)="","",INDEX(Viviendas!$C$5:$AZ$5,$A7))</f>
        <v/>
      </c>
      <c r="D7" s="24" t="str">
        <f>IF(INDEX(Viviendas!$C$4:$AZ$4,$A7)="","",INDEX(Viviendas!$C$4:$AZ$4,$A7))</f>
        <v/>
      </c>
      <c r="E7" s="12" t="str">
        <f>IF(INDEX(Viviendas!$C$4:$AZ$4,$A7)="","",INDEX(Viviendas!$C$6:$AZ$6,$A7))</f>
        <v/>
      </c>
      <c r="F7" s="10" t="str">
        <f>IF(INDEX(Viviendas!$C$4:$AZ$4,$A7)="","",INDEX(Viviendas!$C$7:$AZ$7,$A7))</f>
        <v/>
      </c>
      <c r="G7" s="10" t="str">
        <f>IF(INDEX(Viviendas!$C$4:$AZ$4,$A7)="","",INDEX(Viviendas!$C$99:$AZ$99,$A7))</f>
        <v/>
      </c>
      <c r="H7" s="10" t="str">
        <f>IF(INDEX(Viviendas!$C$4:$AZ$4,$A7)="","",INDEX(Viviendas!$C$85:$AZ$85,$A7))</f>
        <v/>
      </c>
      <c r="I7" s="18" t="str">
        <f>IF(INDEX(Viviendas!$C$4:$AZ$4,$A7)="","",INDEX(Viviendas!$C$83:$AZ$83,$A7))</f>
        <v/>
      </c>
      <c r="J7" s="25" t="str">
        <f>IF(INDEX(Viviendas!$C$4:$AZ$4,$A7)="","",INDEX(Viviendas!$C$86:$AZ$86,$A7))</f>
        <v/>
      </c>
      <c r="K7" s="12" t="str">
        <f>IF(INDEX(Viviendas!$C$4:$AZ$4,$A7)="","",INDEX(Viviendas!$C$88:$AZ$88,$A7))</f>
        <v/>
      </c>
      <c r="L7" s="12" t="str">
        <f>IF(INDEX(Viviendas!$C$4:$AZ$4,$A7)="","",INDEX(Viviendas!$C$89:$AZ$89,$A7))</f>
        <v/>
      </c>
      <c r="M7" s="12" t="str">
        <f>IF(INDEX(Viviendas!$C$4:$AZ$4,$A7)="","",INDEX(Viviendas!$C$90:$AZ$90,$A7))</f>
        <v/>
      </c>
    </row>
    <row r="8" spans="1:13" x14ac:dyDescent="0.45">
      <c r="A8" s="23">
        <v>3</v>
      </c>
      <c r="B8" s="12" t="str">
        <f>IF(INDEX(Viviendas!$C$4:$AZ$4,$A8)="","",INDEX(Viviendas!$C$3:$AZ$3,$A8))</f>
        <v/>
      </c>
      <c r="C8" s="12" t="str">
        <f>IF(INDEX(Viviendas!$C$4:$AZ$4,$A8)="","",INDEX(Viviendas!$C$5:$AZ$5,$A8))</f>
        <v/>
      </c>
      <c r="D8" s="24" t="str">
        <f>IF(INDEX(Viviendas!$C$4:$AZ$4,$A8)="","",INDEX(Viviendas!$C$4:$AZ$4,$A8))</f>
        <v/>
      </c>
      <c r="E8" s="12" t="str">
        <f>IF(INDEX(Viviendas!$C$4:$AZ$4,$A8)="","",INDEX(Viviendas!$C$6:$AZ$6,$A8))</f>
        <v/>
      </c>
      <c r="F8" s="10" t="str">
        <f>IF(INDEX(Viviendas!$C$4:$AZ$4,$A8)="","",INDEX(Viviendas!$C$7:$AZ$7,$A8))</f>
        <v/>
      </c>
      <c r="G8" s="10" t="str">
        <f>IF(INDEX(Viviendas!$C$4:$AZ$4,$A8)="","",INDEX(Viviendas!$C$99:$AZ$99,$A8))</f>
        <v/>
      </c>
      <c r="H8" s="10" t="str">
        <f>IF(INDEX(Viviendas!$C$4:$AZ$4,$A8)="","",INDEX(Viviendas!$C$85:$AZ$85,$A8))</f>
        <v/>
      </c>
      <c r="I8" s="18" t="str">
        <f>IF(INDEX(Viviendas!$C$4:$AZ$4,$A8)="","",INDEX(Viviendas!$C$83:$AZ$83,$A8))</f>
        <v/>
      </c>
      <c r="J8" s="25" t="str">
        <f>IF(INDEX(Viviendas!$C$4:$AZ$4,$A8)="","",INDEX(Viviendas!$C$86:$AZ$86,$A8))</f>
        <v/>
      </c>
      <c r="K8" s="12" t="str">
        <f>IF(INDEX(Viviendas!$C$4:$AZ$4,$A8)="","",INDEX(Viviendas!$C$88:$AZ$88,$A8))</f>
        <v/>
      </c>
      <c r="L8" s="12" t="str">
        <f>IF(INDEX(Viviendas!$C$4:$AZ$4,$A8)="","",INDEX(Viviendas!$C$89:$AZ$89,$A8))</f>
        <v/>
      </c>
      <c r="M8" s="12" t="str">
        <f>IF(INDEX(Viviendas!$C$4:$AZ$4,$A8)="","",INDEX(Viviendas!$C$90:$AZ$90,$A8))</f>
        <v/>
      </c>
    </row>
    <row r="9" spans="1:13" x14ac:dyDescent="0.45">
      <c r="A9" s="23">
        <v>4</v>
      </c>
      <c r="B9" s="12" t="str">
        <f>IF(INDEX(Viviendas!$C$4:$AZ$4,$A9)="","",INDEX(Viviendas!$C$3:$AZ$3,$A9))</f>
        <v/>
      </c>
      <c r="C9" s="12" t="str">
        <f>IF(INDEX(Viviendas!$C$4:$AZ$4,$A9)="","",INDEX(Viviendas!$C$5:$AZ$5,$A9))</f>
        <v/>
      </c>
      <c r="D9" s="24" t="str">
        <f>IF(INDEX(Viviendas!$C$4:$AZ$4,$A9)="","",INDEX(Viviendas!$C$4:$AZ$4,$A9))</f>
        <v/>
      </c>
      <c r="E9" s="12" t="str">
        <f>IF(INDEX(Viviendas!$C$4:$AZ$4,$A9)="","",INDEX(Viviendas!$C$6:$AZ$6,$A9))</f>
        <v/>
      </c>
      <c r="F9" s="10" t="str">
        <f>IF(INDEX(Viviendas!$C$4:$AZ$4,$A9)="","",INDEX(Viviendas!$C$7:$AZ$7,$A9))</f>
        <v/>
      </c>
      <c r="G9" s="10" t="str">
        <f>IF(INDEX(Viviendas!$C$4:$AZ$4,$A9)="","",INDEX(Viviendas!$C$99:$AZ$99,$A9))</f>
        <v/>
      </c>
      <c r="H9" s="10" t="str">
        <f>IF(INDEX(Viviendas!$C$4:$AZ$4,$A9)="","",INDEX(Viviendas!$C$85:$AZ$85,$A9))</f>
        <v/>
      </c>
      <c r="I9" s="18" t="str">
        <f>IF(INDEX(Viviendas!$C$4:$AZ$4,$A9)="","",INDEX(Viviendas!$C$83:$AZ$83,$A9))</f>
        <v/>
      </c>
      <c r="J9" s="25" t="str">
        <f>IF(INDEX(Viviendas!$C$4:$AZ$4,$A9)="","",INDEX(Viviendas!$C$86:$AZ$86,$A9))</f>
        <v/>
      </c>
      <c r="K9" s="12" t="str">
        <f>IF(INDEX(Viviendas!$C$4:$AZ$4,$A9)="","",INDEX(Viviendas!$C$88:$AZ$88,$A9))</f>
        <v/>
      </c>
      <c r="L9" s="12" t="str">
        <f>IF(INDEX(Viviendas!$C$4:$AZ$4,$A9)="","",INDEX(Viviendas!$C$89:$AZ$89,$A9))</f>
        <v/>
      </c>
      <c r="M9" s="12" t="str">
        <f>IF(INDEX(Viviendas!$C$4:$AZ$4,$A9)="","",INDEX(Viviendas!$C$90:$AZ$90,$A9))</f>
        <v/>
      </c>
    </row>
    <row r="10" spans="1:13" x14ac:dyDescent="0.45">
      <c r="A10" s="23">
        <v>5</v>
      </c>
      <c r="B10" s="12" t="str">
        <f>IF(INDEX(Viviendas!$C$4:$AZ$4,$A10)="","",INDEX(Viviendas!$C$3:$AZ$3,$A10))</f>
        <v/>
      </c>
      <c r="C10" s="12" t="str">
        <f>IF(INDEX(Viviendas!$C$4:$AZ$4,$A10)="","",INDEX(Viviendas!$C$5:$AZ$5,$A10))</f>
        <v/>
      </c>
      <c r="D10" s="24" t="str">
        <f>IF(INDEX(Viviendas!$C$4:$AZ$4,$A10)="","",INDEX(Viviendas!$C$4:$AZ$4,$A10))</f>
        <v/>
      </c>
      <c r="E10" s="12" t="str">
        <f>IF(INDEX(Viviendas!$C$4:$AZ$4,$A10)="","",INDEX(Viviendas!$C$6:$AZ$6,$A10))</f>
        <v/>
      </c>
      <c r="F10" s="10" t="str">
        <f>IF(INDEX(Viviendas!$C$4:$AZ$4,$A10)="","",INDEX(Viviendas!$C$7:$AZ$7,$A10))</f>
        <v/>
      </c>
      <c r="G10" s="10" t="str">
        <f>IF(INDEX(Viviendas!$C$4:$AZ$4,$A10)="","",INDEX(Viviendas!$C$99:$AZ$99,$A10))</f>
        <v/>
      </c>
      <c r="H10" s="10" t="str">
        <f>IF(INDEX(Viviendas!$C$4:$AZ$4,$A10)="","",INDEX(Viviendas!$C$85:$AZ$85,$A10))</f>
        <v/>
      </c>
      <c r="I10" s="18" t="str">
        <f>IF(INDEX(Viviendas!$C$4:$AZ$4,$A10)="","",INDEX(Viviendas!$C$83:$AZ$83,$A10))</f>
        <v/>
      </c>
      <c r="J10" s="25" t="str">
        <f>IF(INDEX(Viviendas!$C$4:$AZ$4,$A10)="","",INDEX(Viviendas!$C$86:$AZ$86,$A10))</f>
        <v/>
      </c>
      <c r="K10" s="12" t="str">
        <f>IF(INDEX(Viviendas!$C$4:$AZ$4,$A10)="","",INDEX(Viviendas!$C$88:$AZ$88,$A10))</f>
        <v/>
      </c>
      <c r="L10" s="12" t="str">
        <f>IF(INDEX(Viviendas!$C$4:$AZ$4,$A10)="","",INDEX(Viviendas!$C$89:$AZ$89,$A10))</f>
        <v/>
      </c>
      <c r="M10" s="12" t="str">
        <f>IF(INDEX(Viviendas!$C$4:$AZ$4,$A10)="","",INDEX(Viviendas!$C$90:$AZ$90,$A10))</f>
        <v/>
      </c>
    </row>
    <row r="11" spans="1:13" x14ac:dyDescent="0.45">
      <c r="A11" s="23">
        <v>6</v>
      </c>
      <c r="B11" s="12" t="str">
        <f>IF(INDEX(Viviendas!$C$4:$AZ$4,$A11)="","",INDEX(Viviendas!$C$3:$AZ$3,$A11))</f>
        <v/>
      </c>
      <c r="C11" s="12" t="str">
        <f>IF(INDEX(Viviendas!$C$4:$AZ$4,$A11)="","",INDEX(Viviendas!$C$5:$AZ$5,$A11))</f>
        <v/>
      </c>
      <c r="D11" s="24" t="str">
        <f>IF(INDEX(Viviendas!$C$4:$AZ$4,$A11)="","",INDEX(Viviendas!$C$4:$AZ$4,$A11))</f>
        <v/>
      </c>
      <c r="E11" s="12" t="str">
        <f>IF(INDEX(Viviendas!$C$4:$AZ$4,$A11)="","",INDEX(Viviendas!$C$6:$AZ$6,$A11))</f>
        <v/>
      </c>
      <c r="F11" s="10" t="str">
        <f>IF(INDEX(Viviendas!$C$4:$AZ$4,$A11)="","",INDEX(Viviendas!$C$7:$AZ$7,$A11))</f>
        <v/>
      </c>
      <c r="G11" s="10" t="str">
        <f>IF(INDEX(Viviendas!$C$4:$AZ$4,$A11)="","",INDEX(Viviendas!$C$99:$AZ$99,$A11))</f>
        <v/>
      </c>
      <c r="H11" s="10" t="str">
        <f>IF(INDEX(Viviendas!$C$4:$AZ$4,$A11)="","",INDEX(Viviendas!$C$85:$AZ$85,$A11))</f>
        <v/>
      </c>
      <c r="I11" s="18" t="str">
        <f>IF(INDEX(Viviendas!$C$4:$AZ$4,$A11)="","",INDEX(Viviendas!$C$83:$AZ$83,$A11))</f>
        <v/>
      </c>
      <c r="J11" s="25" t="str">
        <f>IF(INDEX(Viviendas!$C$4:$AZ$4,$A11)="","",INDEX(Viviendas!$C$86:$AZ$86,$A11))</f>
        <v/>
      </c>
      <c r="K11" s="12" t="str">
        <f>IF(INDEX(Viviendas!$C$4:$AZ$4,$A11)="","",INDEX(Viviendas!$C$88:$AZ$88,$A11))</f>
        <v/>
      </c>
      <c r="L11" s="12" t="str">
        <f>IF(INDEX(Viviendas!$C$4:$AZ$4,$A11)="","",INDEX(Viviendas!$C$89:$AZ$89,$A11))</f>
        <v/>
      </c>
      <c r="M11" s="12" t="str">
        <f>IF(INDEX(Viviendas!$C$4:$AZ$4,$A11)="","",INDEX(Viviendas!$C$90:$AZ$90,$A11))</f>
        <v/>
      </c>
    </row>
    <row r="12" spans="1:13" x14ac:dyDescent="0.45">
      <c r="A12" s="23">
        <v>7</v>
      </c>
      <c r="B12" s="12" t="str">
        <f>IF(INDEX(Viviendas!$C$4:$AZ$4,$A12)="","",INDEX(Viviendas!$C$3:$AZ$3,$A12))</f>
        <v/>
      </c>
      <c r="C12" s="12" t="str">
        <f>IF(INDEX(Viviendas!$C$4:$AZ$4,$A12)="","",INDEX(Viviendas!$C$5:$AZ$5,$A12))</f>
        <v/>
      </c>
      <c r="D12" s="24" t="str">
        <f>IF(INDEX(Viviendas!$C$4:$AZ$4,$A12)="","",INDEX(Viviendas!$C$4:$AZ$4,$A12))</f>
        <v/>
      </c>
      <c r="E12" s="12" t="str">
        <f>IF(INDEX(Viviendas!$C$4:$AZ$4,$A12)="","",INDEX(Viviendas!$C$6:$AZ$6,$A12))</f>
        <v/>
      </c>
      <c r="F12" s="10" t="str">
        <f>IF(INDEX(Viviendas!$C$4:$AZ$4,$A12)="","",INDEX(Viviendas!$C$7:$AZ$7,$A12))</f>
        <v/>
      </c>
      <c r="G12" s="10" t="str">
        <f>IF(INDEX(Viviendas!$C$4:$AZ$4,$A12)="","",INDEX(Viviendas!$C$99:$AZ$99,$A12))</f>
        <v/>
      </c>
      <c r="H12" s="10" t="str">
        <f>IF(INDEX(Viviendas!$C$4:$AZ$4,$A12)="","",INDEX(Viviendas!$C$85:$AZ$85,$A12))</f>
        <v/>
      </c>
      <c r="I12" s="18" t="str">
        <f>IF(INDEX(Viviendas!$C$4:$AZ$4,$A12)="","",INDEX(Viviendas!$C$83:$AZ$83,$A12))</f>
        <v/>
      </c>
      <c r="J12" s="25" t="str">
        <f>IF(INDEX(Viviendas!$C$4:$AZ$4,$A12)="","",INDEX(Viviendas!$C$86:$AZ$86,$A12))</f>
        <v/>
      </c>
      <c r="K12" s="12" t="str">
        <f>IF(INDEX(Viviendas!$C$4:$AZ$4,$A12)="","",INDEX(Viviendas!$C$88:$AZ$88,$A12))</f>
        <v/>
      </c>
      <c r="L12" s="12" t="str">
        <f>IF(INDEX(Viviendas!$C$4:$AZ$4,$A12)="","",INDEX(Viviendas!$C$89:$AZ$89,$A12))</f>
        <v/>
      </c>
      <c r="M12" s="12" t="str">
        <f>IF(INDEX(Viviendas!$C$4:$AZ$4,$A12)="","",INDEX(Viviendas!$C$90:$AZ$90,$A12))</f>
        <v/>
      </c>
    </row>
    <row r="13" spans="1:13" x14ac:dyDescent="0.45">
      <c r="A13" s="23">
        <v>8</v>
      </c>
      <c r="B13" s="12" t="str">
        <f>IF(INDEX(Viviendas!$C$4:$AZ$4,$A13)="","",INDEX(Viviendas!$C$3:$AZ$3,$A13))</f>
        <v/>
      </c>
      <c r="C13" s="12" t="str">
        <f>IF(INDEX(Viviendas!$C$4:$AZ$4,$A13)="","",INDEX(Viviendas!$C$5:$AZ$5,$A13))</f>
        <v/>
      </c>
      <c r="D13" s="24" t="str">
        <f>IF(INDEX(Viviendas!$C$4:$AZ$4,$A13)="","",INDEX(Viviendas!$C$4:$AZ$4,$A13))</f>
        <v/>
      </c>
      <c r="E13" s="12" t="str">
        <f>IF(INDEX(Viviendas!$C$4:$AZ$4,$A13)="","",INDEX(Viviendas!$C$6:$AZ$6,$A13))</f>
        <v/>
      </c>
      <c r="F13" s="10" t="str">
        <f>IF(INDEX(Viviendas!$C$4:$AZ$4,$A13)="","",INDEX(Viviendas!$C$7:$AZ$7,$A13))</f>
        <v/>
      </c>
      <c r="G13" s="10" t="str">
        <f>IF(INDEX(Viviendas!$C$4:$AZ$4,$A13)="","",INDEX(Viviendas!$C$99:$AZ$99,$A13))</f>
        <v/>
      </c>
      <c r="H13" s="10" t="str">
        <f>IF(INDEX(Viviendas!$C$4:$AZ$4,$A13)="","",INDEX(Viviendas!$C$85:$AZ$85,$A13))</f>
        <v/>
      </c>
      <c r="I13" s="18" t="str">
        <f>IF(INDEX(Viviendas!$C$4:$AZ$4,$A13)="","",INDEX(Viviendas!$C$83:$AZ$83,$A13))</f>
        <v/>
      </c>
      <c r="J13" s="25" t="str">
        <f>IF(INDEX(Viviendas!$C$4:$AZ$4,$A13)="","",INDEX(Viviendas!$C$86:$AZ$86,$A13))</f>
        <v/>
      </c>
      <c r="K13" s="12" t="str">
        <f>IF(INDEX(Viviendas!$C$4:$AZ$4,$A13)="","",INDEX(Viviendas!$C$88:$AZ$88,$A13))</f>
        <v/>
      </c>
      <c r="L13" s="12" t="str">
        <f>IF(INDEX(Viviendas!$C$4:$AZ$4,$A13)="","",INDEX(Viviendas!$C$89:$AZ$89,$A13))</f>
        <v/>
      </c>
      <c r="M13" s="12" t="str">
        <f>IF(INDEX(Viviendas!$C$4:$AZ$4,$A13)="","",INDEX(Viviendas!$C$90:$AZ$90,$A13))</f>
        <v/>
      </c>
    </row>
    <row r="14" spans="1:13" x14ac:dyDescent="0.45">
      <c r="A14" s="23">
        <v>9</v>
      </c>
      <c r="B14" s="12" t="str">
        <f>IF(INDEX(Viviendas!$C$4:$AZ$4,$A14)="","",INDEX(Viviendas!$C$3:$AZ$3,$A14))</f>
        <v/>
      </c>
      <c r="C14" s="12" t="str">
        <f>IF(INDEX(Viviendas!$C$4:$AZ$4,$A14)="","",INDEX(Viviendas!$C$5:$AZ$5,$A14))</f>
        <v/>
      </c>
      <c r="D14" s="24" t="str">
        <f>IF(INDEX(Viviendas!$C$4:$AZ$4,$A14)="","",INDEX(Viviendas!$C$4:$AZ$4,$A14))</f>
        <v/>
      </c>
      <c r="E14" s="12" t="str">
        <f>IF(INDEX(Viviendas!$C$4:$AZ$4,$A14)="","",INDEX(Viviendas!$C$6:$AZ$6,$A14))</f>
        <v/>
      </c>
      <c r="F14" s="10" t="str">
        <f>IF(INDEX(Viviendas!$C$4:$AZ$4,$A14)="","",INDEX(Viviendas!$C$7:$AZ$7,$A14))</f>
        <v/>
      </c>
      <c r="G14" s="10" t="str">
        <f>IF(INDEX(Viviendas!$C$4:$AZ$4,$A14)="","",INDEX(Viviendas!$C$99:$AZ$99,$A14))</f>
        <v/>
      </c>
      <c r="H14" s="10" t="str">
        <f>IF(INDEX(Viviendas!$C$4:$AZ$4,$A14)="","",INDEX(Viviendas!$C$85:$AZ$85,$A14))</f>
        <v/>
      </c>
      <c r="I14" s="18" t="str">
        <f>IF(INDEX(Viviendas!$C$4:$AZ$4,$A14)="","",INDEX(Viviendas!$C$83:$AZ$83,$A14))</f>
        <v/>
      </c>
      <c r="J14" s="25" t="str">
        <f>IF(INDEX(Viviendas!$C$4:$AZ$4,$A14)="","",INDEX(Viviendas!$C$86:$AZ$86,$A14))</f>
        <v/>
      </c>
      <c r="K14" s="12" t="str">
        <f>IF(INDEX(Viviendas!$C$4:$AZ$4,$A14)="","",INDEX(Viviendas!$C$88:$AZ$88,$A14))</f>
        <v/>
      </c>
      <c r="L14" s="12" t="str">
        <f>IF(INDEX(Viviendas!$C$4:$AZ$4,$A14)="","",INDEX(Viviendas!$C$89:$AZ$89,$A14))</f>
        <v/>
      </c>
      <c r="M14" s="12" t="str">
        <f>IF(INDEX(Viviendas!$C$4:$AZ$4,$A14)="","",INDEX(Viviendas!$C$90:$AZ$90,$A14))</f>
        <v/>
      </c>
    </row>
    <row r="15" spans="1:13" x14ac:dyDescent="0.45">
      <c r="A15" s="23">
        <v>10</v>
      </c>
      <c r="B15" s="12" t="str">
        <f>IF(INDEX(Viviendas!$C$4:$AZ$4,$A15)="","",INDEX(Viviendas!$C$3:$AZ$3,$A15))</f>
        <v/>
      </c>
      <c r="C15" s="12" t="str">
        <f>IF(INDEX(Viviendas!$C$4:$AZ$4,$A15)="","",INDEX(Viviendas!$C$5:$AZ$5,$A15))</f>
        <v/>
      </c>
      <c r="D15" s="24" t="str">
        <f>IF(INDEX(Viviendas!$C$4:$AZ$4,$A15)="","",INDEX(Viviendas!$C$4:$AZ$4,$A15))</f>
        <v/>
      </c>
      <c r="E15" s="12" t="str">
        <f>IF(INDEX(Viviendas!$C$4:$AZ$4,$A15)="","",INDEX(Viviendas!$C$6:$AZ$6,$A15))</f>
        <v/>
      </c>
      <c r="F15" s="10" t="str">
        <f>IF(INDEX(Viviendas!$C$4:$AZ$4,$A15)="","",INDEX(Viviendas!$C$7:$AZ$7,$A15))</f>
        <v/>
      </c>
      <c r="G15" s="10" t="str">
        <f>IF(INDEX(Viviendas!$C$4:$AZ$4,$A15)="","",INDEX(Viviendas!$C$99:$AZ$99,$A15))</f>
        <v/>
      </c>
      <c r="H15" s="10" t="str">
        <f>IF(INDEX(Viviendas!$C$4:$AZ$4,$A15)="","",INDEX(Viviendas!$C$85:$AZ$85,$A15))</f>
        <v/>
      </c>
      <c r="I15" s="18" t="str">
        <f>IF(INDEX(Viviendas!$C$4:$AZ$4,$A15)="","",INDEX(Viviendas!$C$83:$AZ$83,$A15))</f>
        <v/>
      </c>
      <c r="J15" s="25" t="str">
        <f>IF(INDEX(Viviendas!$C$4:$AZ$4,$A15)="","",INDEX(Viviendas!$C$86:$AZ$86,$A15))</f>
        <v/>
      </c>
      <c r="K15" s="12" t="str">
        <f>IF(INDEX(Viviendas!$C$4:$AZ$4,$A15)="","",INDEX(Viviendas!$C$88:$AZ$88,$A15))</f>
        <v/>
      </c>
      <c r="L15" s="12" t="str">
        <f>IF(INDEX(Viviendas!$C$4:$AZ$4,$A15)="","",INDEX(Viviendas!$C$89:$AZ$89,$A15))</f>
        <v/>
      </c>
      <c r="M15" s="12" t="str">
        <f>IF(INDEX(Viviendas!$C$4:$AZ$4,$A15)="","",INDEX(Viviendas!$C$90:$AZ$90,$A15))</f>
        <v/>
      </c>
    </row>
    <row r="16" spans="1:13" x14ac:dyDescent="0.45">
      <c r="A16" s="23">
        <v>11</v>
      </c>
      <c r="B16" s="12" t="str">
        <f>IF(INDEX(Viviendas!$C$4:$AZ$4,$A16)="","",INDEX(Viviendas!$C$3:$AZ$3,$A16))</f>
        <v/>
      </c>
      <c r="C16" s="12" t="str">
        <f>IF(INDEX(Viviendas!$C$4:$AZ$4,$A16)="","",INDEX(Viviendas!$C$5:$AZ$5,$A16))</f>
        <v/>
      </c>
      <c r="D16" s="24" t="str">
        <f>IF(INDEX(Viviendas!$C$4:$AZ$4,$A16)="","",INDEX(Viviendas!$C$4:$AZ$4,$A16))</f>
        <v/>
      </c>
      <c r="E16" s="12" t="str">
        <f>IF(INDEX(Viviendas!$C$4:$AZ$4,$A16)="","",INDEX(Viviendas!$C$6:$AZ$6,$A16))</f>
        <v/>
      </c>
      <c r="F16" s="10" t="str">
        <f>IF(INDEX(Viviendas!$C$4:$AZ$4,$A16)="","",INDEX(Viviendas!$C$7:$AZ$7,$A16))</f>
        <v/>
      </c>
      <c r="G16" s="10" t="str">
        <f>IF(INDEX(Viviendas!$C$4:$AZ$4,$A16)="","",INDEX(Viviendas!$C$99:$AZ$99,$A16))</f>
        <v/>
      </c>
      <c r="H16" s="10" t="str">
        <f>IF(INDEX(Viviendas!$C$4:$AZ$4,$A16)="","",INDEX(Viviendas!$C$85:$AZ$85,$A16))</f>
        <v/>
      </c>
      <c r="I16" s="18" t="str">
        <f>IF(INDEX(Viviendas!$C$4:$AZ$4,$A16)="","",INDEX(Viviendas!$C$83:$AZ$83,$A16))</f>
        <v/>
      </c>
      <c r="J16" s="25" t="str">
        <f>IF(INDEX(Viviendas!$C$4:$AZ$4,$A16)="","",INDEX(Viviendas!$C$86:$AZ$86,$A16))</f>
        <v/>
      </c>
      <c r="K16" s="12" t="str">
        <f>IF(INDEX(Viviendas!$C$4:$AZ$4,$A16)="","",INDEX(Viviendas!$C$88:$AZ$88,$A16))</f>
        <v/>
      </c>
      <c r="L16" s="12" t="str">
        <f>IF(INDEX(Viviendas!$C$4:$AZ$4,$A16)="","",INDEX(Viviendas!$C$89:$AZ$89,$A16))</f>
        <v/>
      </c>
      <c r="M16" s="12" t="str">
        <f>IF(INDEX(Viviendas!$C$4:$AZ$4,$A16)="","",INDEX(Viviendas!$C$90:$AZ$90,$A16))</f>
        <v/>
      </c>
    </row>
    <row r="17" spans="1:13" x14ac:dyDescent="0.45">
      <c r="A17" s="23">
        <v>12</v>
      </c>
      <c r="B17" s="12" t="str">
        <f>IF(INDEX(Viviendas!$C$4:$AZ$4,$A17)="","",INDEX(Viviendas!$C$3:$AZ$3,$A17))</f>
        <v/>
      </c>
      <c r="C17" s="12" t="str">
        <f>IF(INDEX(Viviendas!$C$4:$AZ$4,$A17)="","",INDEX(Viviendas!$C$5:$AZ$5,$A17))</f>
        <v/>
      </c>
      <c r="D17" s="24" t="str">
        <f>IF(INDEX(Viviendas!$C$4:$AZ$4,$A17)="","",INDEX(Viviendas!$C$4:$AZ$4,$A17))</f>
        <v/>
      </c>
      <c r="E17" s="12" t="str">
        <f>IF(INDEX(Viviendas!$C$4:$AZ$4,$A17)="","",INDEX(Viviendas!$C$6:$AZ$6,$A17))</f>
        <v/>
      </c>
      <c r="F17" s="10" t="str">
        <f>IF(INDEX(Viviendas!$C$4:$AZ$4,$A17)="","",INDEX(Viviendas!$C$7:$AZ$7,$A17))</f>
        <v/>
      </c>
      <c r="G17" s="10" t="str">
        <f>IF(INDEX(Viviendas!$C$4:$AZ$4,$A17)="","",INDEX(Viviendas!$C$99:$AZ$99,$A17))</f>
        <v/>
      </c>
      <c r="H17" s="10" t="str">
        <f>IF(INDEX(Viviendas!$C$4:$AZ$4,$A17)="","",INDEX(Viviendas!$C$85:$AZ$85,$A17))</f>
        <v/>
      </c>
      <c r="I17" s="18" t="str">
        <f>IF(INDEX(Viviendas!$C$4:$AZ$4,$A17)="","",INDEX(Viviendas!$C$83:$AZ$83,$A17))</f>
        <v/>
      </c>
      <c r="J17" s="25" t="str">
        <f>IF(INDEX(Viviendas!$C$4:$AZ$4,$A17)="","",INDEX(Viviendas!$C$86:$AZ$86,$A17))</f>
        <v/>
      </c>
      <c r="K17" s="12" t="str">
        <f>IF(INDEX(Viviendas!$C$4:$AZ$4,$A17)="","",INDEX(Viviendas!$C$88:$AZ$88,$A17))</f>
        <v/>
      </c>
      <c r="L17" s="12" t="str">
        <f>IF(INDEX(Viviendas!$C$4:$AZ$4,$A17)="","",INDEX(Viviendas!$C$89:$AZ$89,$A17))</f>
        <v/>
      </c>
      <c r="M17" s="12" t="str">
        <f>IF(INDEX(Viviendas!$C$4:$AZ$4,$A17)="","",INDEX(Viviendas!$C$90:$AZ$90,$A17))</f>
        <v/>
      </c>
    </row>
    <row r="18" spans="1:13" x14ac:dyDescent="0.45">
      <c r="A18" s="23">
        <v>13</v>
      </c>
      <c r="B18" s="12" t="str">
        <f>IF(INDEX(Viviendas!$C$4:$AZ$4,$A18)="","",INDEX(Viviendas!$C$3:$AZ$3,$A18))</f>
        <v/>
      </c>
      <c r="C18" s="12" t="str">
        <f>IF(INDEX(Viviendas!$C$4:$AZ$4,$A18)="","",INDEX(Viviendas!$C$5:$AZ$5,$A18))</f>
        <v/>
      </c>
      <c r="D18" s="24" t="str">
        <f>IF(INDEX(Viviendas!$C$4:$AZ$4,$A18)="","",INDEX(Viviendas!$C$4:$AZ$4,$A18))</f>
        <v/>
      </c>
      <c r="E18" s="12" t="str">
        <f>IF(INDEX(Viviendas!$C$4:$AZ$4,$A18)="","",INDEX(Viviendas!$C$6:$AZ$6,$A18))</f>
        <v/>
      </c>
      <c r="F18" s="10" t="str">
        <f>IF(INDEX(Viviendas!$C$4:$AZ$4,$A18)="","",INDEX(Viviendas!$C$7:$AZ$7,$A18))</f>
        <v/>
      </c>
      <c r="G18" s="10" t="str">
        <f>IF(INDEX(Viviendas!$C$4:$AZ$4,$A18)="","",INDEX(Viviendas!$C$99:$AZ$99,$A18))</f>
        <v/>
      </c>
      <c r="H18" s="10" t="str">
        <f>IF(INDEX(Viviendas!$C$4:$AZ$4,$A18)="","",INDEX(Viviendas!$C$85:$AZ$85,$A18))</f>
        <v/>
      </c>
      <c r="I18" s="18" t="str">
        <f>IF(INDEX(Viviendas!$C$4:$AZ$4,$A18)="","",INDEX(Viviendas!$C$83:$AZ$83,$A18))</f>
        <v/>
      </c>
      <c r="J18" s="25" t="str">
        <f>IF(INDEX(Viviendas!$C$4:$AZ$4,$A18)="","",INDEX(Viviendas!$C$86:$AZ$86,$A18))</f>
        <v/>
      </c>
      <c r="K18" s="12" t="str">
        <f>IF(INDEX(Viviendas!$C$4:$AZ$4,$A18)="","",INDEX(Viviendas!$C$88:$AZ$88,$A18))</f>
        <v/>
      </c>
      <c r="L18" s="12" t="str">
        <f>IF(INDEX(Viviendas!$C$4:$AZ$4,$A18)="","",INDEX(Viviendas!$C$89:$AZ$89,$A18))</f>
        <v/>
      </c>
      <c r="M18" s="12" t="str">
        <f>IF(INDEX(Viviendas!$C$4:$AZ$4,$A18)="","",INDEX(Viviendas!$C$90:$AZ$90,$A18))</f>
        <v/>
      </c>
    </row>
    <row r="19" spans="1:13" x14ac:dyDescent="0.45">
      <c r="A19" s="23">
        <v>14</v>
      </c>
      <c r="B19" s="12" t="str">
        <f>IF(INDEX(Viviendas!$C$4:$AZ$4,$A19)="","",INDEX(Viviendas!$C$3:$AZ$3,$A19))</f>
        <v/>
      </c>
      <c r="C19" s="12" t="str">
        <f>IF(INDEX(Viviendas!$C$4:$AZ$4,$A19)="","",INDEX(Viviendas!$C$5:$AZ$5,$A19))</f>
        <v/>
      </c>
      <c r="D19" s="24" t="str">
        <f>IF(INDEX(Viviendas!$C$4:$AZ$4,$A19)="","",INDEX(Viviendas!$C$4:$AZ$4,$A19))</f>
        <v/>
      </c>
      <c r="E19" s="12" t="str">
        <f>IF(INDEX(Viviendas!$C$4:$AZ$4,$A19)="","",INDEX(Viviendas!$C$6:$AZ$6,$A19))</f>
        <v/>
      </c>
      <c r="F19" s="10" t="str">
        <f>IF(INDEX(Viviendas!$C$4:$AZ$4,$A19)="","",INDEX(Viviendas!$C$7:$AZ$7,$A19))</f>
        <v/>
      </c>
      <c r="G19" s="10" t="str">
        <f>IF(INDEX(Viviendas!$C$4:$AZ$4,$A19)="","",INDEX(Viviendas!$C$99:$AZ$99,$A19))</f>
        <v/>
      </c>
      <c r="H19" s="10" t="str">
        <f>IF(INDEX(Viviendas!$C$4:$AZ$4,$A19)="","",INDEX(Viviendas!$C$85:$AZ$85,$A19))</f>
        <v/>
      </c>
      <c r="I19" s="18" t="str">
        <f>IF(INDEX(Viviendas!$C$4:$AZ$4,$A19)="","",INDEX(Viviendas!$C$83:$AZ$83,$A19))</f>
        <v/>
      </c>
      <c r="J19" s="25" t="str">
        <f>IF(INDEX(Viviendas!$C$4:$AZ$4,$A19)="","",INDEX(Viviendas!$C$86:$AZ$86,$A19))</f>
        <v/>
      </c>
      <c r="K19" s="12" t="str">
        <f>IF(INDEX(Viviendas!$C$4:$AZ$4,$A19)="","",INDEX(Viviendas!$C$88:$AZ$88,$A19))</f>
        <v/>
      </c>
      <c r="L19" s="12" t="str">
        <f>IF(INDEX(Viviendas!$C$4:$AZ$4,$A19)="","",INDEX(Viviendas!$C$89:$AZ$89,$A19))</f>
        <v/>
      </c>
      <c r="M19" s="12" t="str">
        <f>IF(INDEX(Viviendas!$C$4:$AZ$4,$A19)="","",INDEX(Viviendas!$C$90:$AZ$90,$A19))</f>
        <v/>
      </c>
    </row>
    <row r="20" spans="1:13" x14ac:dyDescent="0.45">
      <c r="A20" s="23">
        <v>15</v>
      </c>
      <c r="B20" s="12" t="str">
        <f>IF(INDEX(Viviendas!$C$4:$AZ$4,$A20)="","",INDEX(Viviendas!$C$3:$AZ$3,$A20))</f>
        <v/>
      </c>
      <c r="C20" s="12" t="str">
        <f>IF(INDEX(Viviendas!$C$4:$AZ$4,$A20)="","",INDEX(Viviendas!$C$5:$AZ$5,$A20))</f>
        <v/>
      </c>
      <c r="D20" s="24" t="str">
        <f>IF(INDEX(Viviendas!$C$4:$AZ$4,$A20)="","",INDEX(Viviendas!$C$4:$AZ$4,$A20))</f>
        <v/>
      </c>
      <c r="E20" s="12" t="str">
        <f>IF(INDEX(Viviendas!$C$4:$AZ$4,$A20)="","",INDEX(Viviendas!$C$6:$AZ$6,$A20))</f>
        <v/>
      </c>
      <c r="F20" s="10" t="str">
        <f>IF(INDEX(Viviendas!$C$4:$AZ$4,$A20)="","",INDEX(Viviendas!$C$7:$AZ$7,$A20))</f>
        <v/>
      </c>
      <c r="G20" s="10" t="str">
        <f>IF(INDEX(Viviendas!$C$4:$AZ$4,$A20)="","",INDEX(Viviendas!$C$99:$AZ$99,$A20))</f>
        <v/>
      </c>
      <c r="H20" s="10" t="str">
        <f>IF(INDEX(Viviendas!$C$4:$AZ$4,$A20)="","",INDEX(Viviendas!$C$85:$AZ$85,$A20))</f>
        <v/>
      </c>
      <c r="I20" s="18" t="str">
        <f>IF(INDEX(Viviendas!$C$4:$AZ$4,$A20)="","",INDEX(Viviendas!$C$83:$AZ$83,$A20))</f>
        <v/>
      </c>
      <c r="J20" s="25" t="str">
        <f>IF(INDEX(Viviendas!$C$4:$AZ$4,$A20)="","",INDEX(Viviendas!$C$86:$AZ$86,$A20))</f>
        <v/>
      </c>
      <c r="K20" s="12" t="str">
        <f>IF(INDEX(Viviendas!$C$4:$AZ$4,$A20)="","",INDEX(Viviendas!$C$88:$AZ$88,$A20))</f>
        <v/>
      </c>
      <c r="L20" s="12" t="str">
        <f>IF(INDEX(Viviendas!$C$4:$AZ$4,$A20)="","",INDEX(Viviendas!$C$89:$AZ$89,$A20))</f>
        <v/>
      </c>
      <c r="M20" s="12" t="str">
        <f>IF(INDEX(Viviendas!$C$4:$AZ$4,$A20)="","",INDEX(Viviendas!$C$90:$AZ$90,$A20))</f>
        <v/>
      </c>
    </row>
    <row r="21" spans="1:13" x14ac:dyDescent="0.45">
      <c r="A21" s="23">
        <v>16</v>
      </c>
      <c r="B21" s="12" t="str">
        <f>IF(INDEX(Viviendas!$C$4:$AZ$4,$A21)="","",INDEX(Viviendas!$C$3:$AZ$3,$A21))</f>
        <v/>
      </c>
      <c r="C21" s="12" t="str">
        <f>IF(INDEX(Viviendas!$C$4:$AZ$4,$A21)="","",INDEX(Viviendas!$C$5:$AZ$5,$A21))</f>
        <v/>
      </c>
      <c r="D21" s="24" t="str">
        <f>IF(INDEX(Viviendas!$C$4:$AZ$4,$A21)="","",INDEX(Viviendas!$C$4:$AZ$4,$A21))</f>
        <v/>
      </c>
      <c r="E21" s="12" t="str">
        <f>IF(INDEX(Viviendas!$C$4:$AZ$4,$A21)="","",INDEX(Viviendas!$C$6:$AZ$6,$A21))</f>
        <v/>
      </c>
      <c r="F21" s="10" t="str">
        <f>IF(INDEX(Viviendas!$C$4:$AZ$4,$A21)="","",INDEX(Viviendas!$C$7:$AZ$7,$A21))</f>
        <v/>
      </c>
      <c r="G21" s="10" t="str">
        <f>IF(INDEX(Viviendas!$C$4:$AZ$4,$A21)="","",INDEX(Viviendas!$C$99:$AZ$99,$A21))</f>
        <v/>
      </c>
      <c r="H21" s="10" t="str">
        <f>IF(INDEX(Viviendas!$C$4:$AZ$4,$A21)="","",INDEX(Viviendas!$C$85:$AZ$85,$A21))</f>
        <v/>
      </c>
      <c r="I21" s="18" t="str">
        <f>IF(INDEX(Viviendas!$C$4:$AZ$4,$A21)="","",INDEX(Viviendas!$C$83:$AZ$83,$A21))</f>
        <v/>
      </c>
      <c r="J21" s="25" t="str">
        <f>IF(INDEX(Viviendas!$C$4:$AZ$4,$A21)="","",INDEX(Viviendas!$C$86:$AZ$86,$A21))</f>
        <v/>
      </c>
      <c r="K21" s="12" t="str">
        <f>IF(INDEX(Viviendas!$C$4:$AZ$4,$A21)="","",INDEX(Viviendas!$C$88:$AZ$88,$A21))</f>
        <v/>
      </c>
      <c r="L21" s="12" t="str">
        <f>IF(INDEX(Viviendas!$C$4:$AZ$4,$A21)="","",INDEX(Viviendas!$C$89:$AZ$89,$A21))</f>
        <v/>
      </c>
      <c r="M21" s="12" t="str">
        <f>IF(INDEX(Viviendas!$C$4:$AZ$4,$A21)="","",INDEX(Viviendas!$C$90:$AZ$90,$A21))</f>
        <v/>
      </c>
    </row>
    <row r="22" spans="1:13" x14ac:dyDescent="0.45">
      <c r="A22" s="23">
        <v>17</v>
      </c>
      <c r="B22" s="12" t="str">
        <f>IF(INDEX(Viviendas!$C$4:$AZ$4,$A22)="","",INDEX(Viviendas!$C$3:$AZ$3,$A22))</f>
        <v/>
      </c>
      <c r="C22" s="12" t="str">
        <f>IF(INDEX(Viviendas!$C$4:$AZ$4,$A22)="","",INDEX(Viviendas!$C$5:$AZ$5,$A22))</f>
        <v/>
      </c>
      <c r="D22" s="24" t="str">
        <f>IF(INDEX(Viviendas!$C$4:$AZ$4,$A22)="","",INDEX(Viviendas!$C$4:$AZ$4,$A22))</f>
        <v/>
      </c>
      <c r="E22" s="12" t="str">
        <f>IF(INDEX(Viviendas!$C$4:$AZ$4,$A22)="","",INDEX(Viviendas!$C$6:$AZ$6,$A22))</f>
        <v/>
      </c>
      <c r="F22" s="10" t="str">
        <f>IF(INDEX(Viviendas!$C$4:$AZ$4,$A22)="","",INDEX(Viviendas!$C$7:$AZ$7,$A22))</f>
        <v/>
      </c>
      <c r="G22" s="10" t="str">
        <f>IF(INDEX(Viviendas!$C$4:$AZ$4,$A22)="","",INDEX(Viviendas!$C$99:$AZ$99,$A22))</f>
        <v/>
      </c>
      <c r="H22" s="10" t="str">
        <f>IF(INDEX(Viviendas!$C$4:$AZ$4,$A22)="","",INDEX(Viviendas!$C$85:$AZ$85,$A22))</f>
        <v/>
      </c>
      <c r="I22" s="18" t="str">
        <f>IF(INDEX(Viviendas!$C$4:$AZ$4,$A22)="","",INDEX(Viviendas!$C$83:$AZ$83,$A22))</f>
        <v/>
      </c>
      <c r="J22" s="25" t="str">
        <f>IF(INDEX(Viviendas!$C$4:$AZ$4,$A22)="","",INDEX(Viviendas!$C$86:$AZ$86,$A22))</f>
        <v/>
      </c>
      <c r="K22" s="12" t="str">
        <f>IF(INDEX(Viviendas!$C$4:$AZ$4,$A22)="","",INDEX(Viviendas!$C$88:$AZ$88,$A22))</f>
        <v/>
      </c>
      <c r="L22" s="12" t="str">
        <f>IF(INDEX(Viviendas!$C$4:$AZ$4,$A22)="","",INDEX(Viviendas!$C$89:$AZ$89,$A22))</f>
        <v/>
      </c>
      <c r="M22" s="12" t="str">
        <f>IF(INDEX(Viviendas!$C$4:$AZ$4,$A22)="","",INDEX(Viviendas!$C$90:$AZ$90,$A22))</f>
        <v/>
      </c>
    </row>
    <row r="23" spans="1:13" x14ac:dyDescent="0.45">
      <c r="A23" s="23">
        <v>18</v>
      </c>
      <c r="B23" s="12" t="str">
        <f>IF(INDEX(Viviendas!$C$4:$AZ$4,$A23)="","",INDEX(Viviendas!$C$3:$AZ$3,$A23))</f>
        <v/>
      </c>
      <c r="C23" s="12" t="str">
        <f>IF(INDEX(Viviendas!$C$4:$AZ$4,$A23)="","",INDEX(Viviendas!$C$5:$AZ$5,$A23))</f>
        <v/>
      </c>
      <c r="D23" s="24" t="str">
        <f>IF(INDEX(Viviendas!$C$4:$AZ$4,$A23)="","",INDEX(Viviendas!$C$4:$AZ$4,$A23))</f>
        <v/>
      </c>
      <c r="E23" s="12" t="str">
        <f>IF(INDEX(Viviendas!$C$4:$AZ$4,$A23)="","",INDEX(Viviendas!$C$6:$AZ$6,$A23))</f>
        <v/>
      </c>
      <c r="F23" s="10" t="str">
        <f>IF(INDEX(Viviendas!$C$4:$AZ$4,$A23)="","",INDEX(Viviendas!$C$7:$AZ$7,$A23))</f>
        <v/>
      </c>
      <c r="G23" s="10" t="str">
        <f>IF(INDEX(Viviendas!$C$4:$AZ$4,$A23)="","",INDEX(Viviendas!$C$99:$AZ$99,$A23))</f>
        <v/>
      </c>
      <c r="H23" s="10" t="str">
        <f>IF(INDEX(Viviendas!$C$4:$AZ$4,$A23)="","",INDEX(Viviendas!$C$85:$AZ$85,$A23))</f>
        <v/>
      </c>
      <c r="I23" s="18" t="str">
        <f>IF(INDEX(Viviendas!$C$4:$AZ$4,$A23)="","",INDEX(Viviendas!$C$83:$AZ$83,$A23))</f>
        <v/>
      </c>
      <c r="J23" s="25" t="str">
        <f>IF(INDEX(Viviendas!$C$4:$AZ$4,$A23)="","",INDEX(Viviendas!$C$86:$AZ$86,$A23))</f>
        <v/>
      </c>
      <c r="K23" s="12" t="str">
        <f>IF(INDEX(Viviendas!$C$4:$AZ$4,$A23)="","",INDEX(Viviendas!$C$88:$AZ$88,$A23))</f>
        <v/>
      </c>
      <c r="L23" s="12" t="str">
        <f>IF(INDEX(Viviendas!$C$4:$AZ$4,$A23)="","",INDEX(Viviendas!$C$89:$AZ$89,$A23))</f>
        <v/>
      </c>
      <c r="M23" s="12" t="str">
        <f>IF(INDEX(Viviendas!$C$4:$AZ$4,$A23)="","",INDEX(Viviendas!$C$90:$AZ$90,$A23))</f>
        <v/>
      </c>
    </row>
    <row r="24" spans="1:13" x14ac:dyDescent="0.45">
      <c r="A24" s="23">
        <v>19</v>
      </c>
      <c r="B24" s="12" t="str">
        <f>IF(INDEX(Viviendas!$C$4:$AZ$4,$A24)="","",INDEX(Viviendas!$C$3:$AZ$3,$A24))</f>
        <v/>
      </c>
      <c r="C24" s="12" t="str">
        <f>IF(INDEX(Viviendas!$C$4:$AZ$4,$A24)="","",INDEX(Viviendas!$C$5:$AZ$5,$A24))</f>
        <v/>
      </c>
      <c r="D24" s="24" t="str">
        <f>IF(INDEX(Viviendas!$C$4:$AZ$4,$A24)="","",INDEX(Viviendas!$C$4:$AZ$4,$A24))</f>
        <v/>
      </c>
      <c r="E24" s="12" t="str">
        <f>IF(INDEX(Viviendas!$C$4:$AZ$4,$A24)="","",INDEX(Viviendas!$C$6:$AZ$6,$A24))</f>
        <v/>
      </c>
      <c r="F24" s="10" t="str">
        <f>IF(INDEX(Viviendas!$C$4:$AZ$4,$A24)="","",INDEX(Viviendas!$C$7:$AZ$7,$A24))</f>
        <v/>
      </c>
      <c r="G24" s="10" t="str">
        <f>IF(INDEX(Viviendas!$C$4:$AZ$4,$A24)="","",INDEX(Viviendas!$C$99:$AZ$99,$A24))</f>
        <v/>
      </c>
      <c r="H24" s="10" t="str">
        <f>IF(INDEX(Viviendas!$C$4:$AZ$4,$A24)="","",INDEX(Viviendas!$C$85:$AZ$85,$A24))</f>
        <v/>
      </c>
      <c r="I24" s="18" t="str">
        <f>IF(INDEX(Viviendas!$C$4:$AZ$4,$A24)="","",INDEX(Viviendas!$C$83:$AZ$83,$A24))</f>
        <v/>
      </c>
      <c r="J24" s="25" t="str">
        <f>IF(INDEX(Viviendas!$C$4:$AZ$4,$A24)="","",INDEX(Viviendas!$C$86:$AZ$86,$A24))</f>
        <v/>
      </c>
      <c r="K24" s="12" t="str">
        <f>IF(INDEX(Viviendas!$C$4:$AZ$4,$A24)="","",INDEX(Viviendas!$C$88:$AZ$88,$A24))</f>
        <v/>
      </c>
      <c r="L24" s="12" t="str">
        <f>IF(INDEX(Viviendas!$C$4:$AZ$4,$A24)="","",INDEX(Viviendas!$C$89:$AZ$89,$A24))</f>
        <v/>
      </c>
      <c r="M24" s="12" t="str">
        <f>IF(INDEX(Viviendas!$C$4:$AZ$4,$A24)="","",INDEX(Viviendas!$C$90:$AZ$90,$A24))</f>
        <v/>
      </c>
    </row>
    <row r="25" spans="1:13" x14ac:dyDescent="0.45">
      <c r="A25" s="23">
        <v>20</v>
      </c>
      <c r="B25" s="12" t="str">
        <f>IF(INDEX(Viviendas!$C$4:$AZ$4,$A25)="","",INDEX(Viviendas!$C$3:$AZ$3,$A25))</f>
        <v/>
      </c>
      <c r="C25" s="12" t="str">
        <f>IF(INDEX(Viviendas!$C$4:$AZ$4,$A25)="","",INDEX(Viviendas!$C$5:$AZ$5,$A25))</f>
        <v/>
      </c>
      <c r="D25" s="24" t="str">
        <f>IF(INDEX(Viviendas!$C$4:$AZ$4,$A25)="","",INDEX(Viviendas!$C$4:$AZ$4,$A25))</f>
        <v/>
      </c>
      <c r="E25" s="12" t="str">
        <f>IF(INDEX(Viviendas!$C$4:$AZ$4,$A25)="","",INDEX(Viviendas!$C$6:$AZ$6,$A25))</f>
        <v/>
      </c>
      <c r="F25" s="10" t="str">
        <f>IF(INDEX(Viviendas!$C$4:$AZ$4,$A25)="","",INDEX(Viviendas!$C$7:$AZ$7,$A25))</f>
        <v/>
      </c>
      <c r="G25" s="10" t="str">
        <f>IF(INDEX(Viviendas!$C$4:$AZ$4,$A25)="","",INDEX(Viviendas!$C$99:$AZ$99,$A25))</f>
        <v/>
      </c>
      <c r="H25" s="10" t="str">
        <f>IF(INDEX(Viviendas!$C$4:$AZ$4,$A25)="","",INDEX(Viviendas!$C$85:$AZ$85,$A25))</f>
        <v/>
      </c>
      <c r="I25" s="18" t="str">
        <f>IF(INDEX(Viviendas!$C$4:$AZ$4,$A25)="","",INDEX(Viviendas!$C$83:$AZ$83,$A25))</f>
        <v/>
      </c>
      <c r="J25" s="25" t="str">
        <f>IF(INDEX(Viviendas!$C$4:$AZ$4,$A25)="","",INDEX(Viviendas!$C$86:$AZ$86,$A25))</f>
        <v/>
      </c>
      <c r="K25" s="12" t="str">
        <f>IF(INDEX(Viviendas!$C$4:$AZ$4,$A25)="","",INDEX(Viviendas!$C$88:$AZ$88,$A25))</f>
        <v/>
      </c>
      <c r="L25" s="12" t="str">
        <f>IF(INDEX(Viviendas!$C$4:$AZ$4,$A25)="","",INDEX(Viviendas!$C$89:$AZ$89,$A25))</f>
        <v/>
      </c>
      <c r="M25" s="12" t="str">
        <f>IF(INDEX(Viviendas!$C$4:$AZ$4,$A25)="","",INDEX(Viviendas!$C$90:$AZ$90,$A25))</f>
        <v/>
      </c>
    </row>
    <row r="26" spans="1:13" x14ac:dyDescent="0.45">
      <c r="A26" s="23">
        <v>21</v>
      </c>
      <c r="B26" s="12" t="str">
        <f>IF(INDEX(Viviendas!$C$4:$AZ$4,$A26)="","",INDEX(Viviendas!$C$3:$AZ$3,$A26))</f>
        <v/>
      </c>
      <c r="C26" s="12" t="str">
        <f>IF(INDEX(Viviendas!$C$4:$AZ$4,$A26)="","",INDEX(Viviendas!$C$5:$AZ$5,$A26))</f>
        <v/>
      </c>
      <c r="D26" s="24" t="str">
        <f>IF(INDEX(Viviendas!$C$4:$AZ$4,$A26)="","",INDEX(Viviendas!$C$4:$AZ$4,$A26))</f>
        <v/>
      </c>
      <c r="E26" s="12" t="str">
        <f>IF(INDEX(Viviendas!$C$4:$AZ$4,$A26)="","",INDEX(Viviendas!$C$6:$AZ$6,$A26))</f>
        <v/>
      </c>
      <c r="F26" s="10" t="str">
        <f>IF(INDEX(Viviendas!$C$4:$AZ$4,$A26)="","",INDEX(Viviendas!$C$7:$AZ$7,$A26))</f>
        <v/>
      </c>
      <c r="G26" s="10" t="str">
        <f>IF(INDEX(Viviendas!$C$4:$AZ$4,$A26)="","",INDEX(Viviendas!$C$99:$AZ$99,$A26))</f>
        <v/>
      </c>
      <c r="H26" s="10" t="str">
        <f>IF(INDEX(Viviendas!$C$4:$AZ$4,$A26)="","",INDEX(Viviendas!$C$85:$AZ$85,$A26))</f>
        <v/>
      </c>
      <c r="I26" s="18" t="str">
        <f>IF(INDEX(Viviendas!$C$4:$AZ$4,$A26)="","",INDEX(Viviendas!$C$83:$AZ$83,$A26))</f>
        <v/>
      </c>
      <c r="J26" s="25" t="str">
        <f>IF(INDEX(Viviendas!$C$4:$AZ$4,$A26)="","",INDEX(Viviendas!$C$86:$AZ$86,$A26))</f>
        <v/>
      </c>
      <c r="K26" s="12" t="str">
        <f>IF(INDEX(Viviendas!$C$4:$AZ$4,$A26)="","",INDEX(Viviendas!$C$88:$AZ$88,$A26))</f>
        <v/>
      </c>
      <c r="L26" s="12" t="str">
        <f>IF(INDEX(Viviendas!$C$4:$AZ$4,$A26)="","",INDEX(Viviendas!$C$89:$AZ$89,$A26))</f>
        <v/>
      </c>
      <c r="M26" s="12" t="str">
        <f>IF(INDEX(Viviendas!$C$4:$AZ$4,$A26)="","",INDEX(Viviendas!$C$90:$AZ$90,$A26))</f>
        <v/>
      </c>
    </row>
    <row r="27" spans="1:13" x14ac:dyDescent="0.45">
      <c r="A27" s="23">
        <v>22</v>
      </c>
      <c r="B27" s="12" t="str">
        <f>IF(INDEX(Viviendas!$C$4:$AZ$4,$A27)="","",INDEX(Viviendas!$C$3:$AZ$3,$A27))</f>
        <v/>
      </c>
      <c r="C27" s="12" t="str">
        <f>IF(INDEX(Viviendas!$C$4:$AZ$4,$A27)="","",INDEX(Viviendas!$C$5:$AZ$5,$A27))</f>
        <v/>
      </c>
      <c r="D27" s="24" t="str">
        <f>IF(INDEX(Viviendas!$C$4:$AZ$4,$A27)="","",INDEX(Viviendas!$C$4:$AZ$4,$A27))</f>
        <v/>
      </c>
      <c r="E27" s="12" t="str">
        <f>IF(INDEX(Viviendas!$C$4:$AZ$4,$A27)="","",INDEX(Viviendas!$C$6:$AZ$6,$A27))</f>
        <v/>
      </c>
      <c r="F27" s="10" t="str">
        <f>IF(INDEX(Viviendas!$C$4:$AZ$4,$A27)="","",INDEX(Viviendas!$C$7:$AZ$7,$A27))</f>
        <v/>
      </c>
      <c r="G27" s="10" t="str">
        <f>IF(INDEX(Viviendas!$C$4:$AZ$4,$A27)="","",INDEX(Viviendas!$C$99:$AZ$99,$A27))</f>
        <v/>
      </c>
      <c r="H27" s="10" t="str">
        <f>IF(INDEX(Viviendas!$C$4:$AZ$4,$A27)="","",INDEX(Viviendas!$C$85:$AZ$85,$A27))</f>
        <v/>
      </c>
      <c r="I27" s="18" t="str">
        <f>IF(INDEX(Viviendas!$C$4:$AZ$4,$A27)="","",INDEX(Viviendas!$C$83:$AZ$83,$A27))</f>
        <v/>
      </c>
      <c r="J27" s="25" t="str">
        <f>IF(INDEX(Viviendas!$C$4:$AZ$4,$A27)="","",INDEX(Viviendas!$C$86:$AZ$86,$A27))</f>
        <v/>
      </c>
      <c r="K27" s="12" t="str">
        <f>IF(INDEX(Viviendas!$C$4:$AZ$4,$A27)="","",INDEX(Viviendas!$C$88:$AZ$88,$A27))</f>
        <v/>
      </c>
      <c r="L27" s="12" t="str">
        <f>IF(INDEX(Viviendas!$C$4:$AZ$4,$A27)="","",INDEX(Viviendas!$C$89:$AZ$89,$A27))</f>
        <v/>
      </c>
      <c r="M27" s="12" t="str">
        <f>IF(INDEX(Viviendas!$C$4:$AZ$4,$A27)="","",INDEX(Viviendas!$C$90:$AZ$90,$A27))</f>
        <v/>
      </c>
    </row>
    <row r="28" spans="1:13" x14ac:dyDescent="0.45">
      <c r="A28" s="23">
        <v>23</v>
      </c>
      <c r="B28" s="12" t="str">
        <f>IF(INDEX(Viviendas!$C$4:$AZ$4,$A28)="","",INDEX(Viviendas!$C$3:$AZ$3,$A28))</f>
        <v/>
      </c>
      <c r="C28" s="12" t="str">
        <f>IF(INDEX(Viviendas!$C$4:$AZ$4,$A28)="","",INDEX(Viviendas!$C$5:$AZ$5,$A28))</f>
        <v/>
      </c>
      <c r="D28" s="24" t="str">
        <f>IF(INDEX(Viviendas!$C$4:$AZ$4,$A28)="","",INDEX(Viviendas!$C$4:$AZ$4,$A28))</f>
        <v/>
      </c>
      <c r="E28" s="12" t="str">
        <f>IF(INDEX(Viviendas!$C$4:$AZ$4,$A28)="","",INDEX(Viviendas!$C$6:$AZ$6,$A28))</f>
        <v/>
      </c>
      <c r="F28" s="10" t="str">
        <f>IF(INDEX(Viviendas!$C$4:$AZ$4,$A28)="","",INDEX(Viviendas!$C$7:$AZ$7,$A28))</f>
        <v/>
      </c>
      <c r="G28" s="10" t="str">
        <f>IF(INDEX(Viviendas!$C$4:$AZ$4,$A28)="","",INDEX(Viviendas!$C$99:$AZ$99,$A28))</f>
        <v/>
      </c>
      <c r="H28" s="10" t="str">
        <f>IF(INDEX(Viviendas!$C$4:$AZ$4,$A28)="","",INDEX(Viviendas!$C$85:$AZ$85,$A28))</f>
        <v/>
      </c>
      <c r="I28" s="18" t="str">
        <f>IF(INDEX(Viviendas!$C$4:$AZ$4,$A28)="","",INDEX(Viviendas!$C$83:$AZ$83,$A28))</f>
        <v/>
      </c>
      <c r="J28" s="25" t="str">
        <f>IF(INDEX(Viviendas!$C$4:$AZ$4,$A28)="","",INDEX(Viviendas!$C$86:$AZ$86,$A28))</f>
        <v/>
      </c>
      <c r="K28" s="12" t="str">
        <f>IF(INDEX(Viviendas!$C$4:$AZ$4,$A28)="","",INDEX(Viviendas!$C$88:$AZ$88,$A28))</f>
        <v/>
      </c>
      <c r="L28" s="12" t="str">
        <f>IF(INDEX(Viviendas!$C$4:$AZ$4,$A28)="","",INDEX(Viviendas!$C$89:$AZ$89,$A28))</f>
        <v/>
      </c>
      <c r="M28" s="12" t="str">
        <f>IF(INDEX(Viviendas!$C$4:$AZ$4,$A28)="","",INDEX(Viviendas!$C$90:$AZ$90,$A28))</f>
        <v/>
      </c>
    </row>
    <row r="29" spans="1:13" x14ac:dyDescent="0.45">
      <c r="A29" s="23">
        <v>24</v>
      </c>
      <c r="B29" s="12" t="str">
        <f>IF(INDEX(Viviendas!$C$4:$AZ$4,$A29)="","",INDEX(Viviendas!$C$3:$AZ$3,$A29))</f>
        <v/>
      </c>
      <c r="C29" s="12" t="str">
        <f>IF(INDEX(Viviendas!$C$4:$AZ$4,$A29)="","",INDEX(Viviendas!$C$5:$AZ$5,$A29))</f>
        <v/>
      </c>
      <c r="D29" s="24" t="str">
        <f>IF(INDEX(Viviendas!$C$4:$AZ$4,$A29)="","",INDEX(Viviendas!$C$4:$AZ$4,$A29))</f>
        <v/>
      </c>
      <c r="E29" s="12" t="str">
        <f>IF(INDEX(Viviendas!$C$4:$AZ$4,$A29)="","",INDEX(Viviendas!$C$6:$AZ$6,$A29))</f>
        <v/>
      </c>
      <c r="F29" s="10" t="str">
        <f>IF(INDEX(Viviendas!$C$4:$AZ$4,$A29)="","",INDEX(Viviendas!$C$7:$AZ$7,$A29))</f>
        <v/>
      </c>
      <c r="G29" s="10" t="str">
        <f>IF(INDEX(Viviendas!$C$4:$AZ$4,$A29)="","",INDEX(Viviendas!$C$99:$AZ$99,$A29))</f>
        <v/>
      </c>
      <c r="H29" s="10" t="str">
        <f>IF(INDEX(Viviendas!$C$4:$AZ$4,$A29)="","",INDEX(Viviendas!$C$85:$AZ$85,$A29))</f>
        <v/>
      </c>
      <c r="I29" s="18" t="str">
        <f>IF(INDEX(Viviendas!$C$4:$AZ$4,$A29)="","",INDEX(Viviendas!$C$83:$AZ$83,$A29))</f>
        <v/>
      </c>
      <c r="J29" s="25" t="str">
        <f>IF(INDEX(Viviendas!$C$4:$AZ$4,$A29)="","",INDEX(Viviendas!$C$86:$AZ$86,$A29))</f>
        <v/>
      </c>
      <c r="K29" s="12" t="str">
        <f>IF(INDEX(Viviendas!$C$4:$AZ$4,$A29)="","",INDEX(Viviendas!$C$88:$AZ$88,$A29))</f>
        <v/>
      </c>
      <c r="L29" s="12" t="str">
        <f>IF(INDEX(Viviendas!$C$4:$AZ$4,$A29)="","",INDEX(Viviendas!$C$89:$AZ$89,$A29))</f>
        <v/>
      </c>
      <c r="M29" s="12" t="str">
        <f>IF(INDEX(Viviendas!$C$4:$AZ$4,$A29)="","",INDEX(Viviendas!$C$90:$AZ$90,$A29))</f>
        <v/>
      </c>
    </row>
    <row r="30" spans="1:13" x14ac:dyDescent="0.45">
      <c r="A30" s="23">
        <v>25</v>
      </c>
      <c r="B30" s="12" t="str">
        <f>IF(INDEX(Viviendas!$C$4:$AZ$4,$A30)="","",INDEX(Viviendas!$C$3:$AZ$3,$A30))</f>
        <v/>
      </c>
      <c r="C30" s="12" t="str">
        <f>IF(INDEX(Viviendas!$C$4:$AZ$4,$A30)="","",INDEX(Viviendas!$C$5:$AZ$5,$A30))</f>
        <v/>
      </c>
      <c r="D30" s="24" t="str">
        <f>IF(INDEX(Viviendas!$C$4:$AZ$4,$A30)="","",INDEX(Viviendas!$C$4:$AZ$4,$A30))</f>
        <v/>
      </c>
      <c r="E30" s="12" t="str">
        <f>IF(INDEX(Viviendas!$C$4:$AZ$4,$A30)="","",INDEX(Viviendas!$C$6:$AZ$6,$A30))</f>
        <v/>
      </c>
      <c r="F30" s="10" t="str">
        <f>IF(INDEX(Viviendas!$C$4:$AZ$4,$A30)="","",INDEX(Viviendas!$C$7:$AZ$7,$A30))</f>
        <v/>
      </c>
      <c r="G30" s="10" t="str">
        <f>IF(INDEX(Viviendas!$C$4:$AZ$4,$A30)="","",INDEX(Viviendas!$C$99:$AZ$99,$A30))</f>
        <v/>
      </c>
      <c r="H30" s="10" t="str">
        <f>IF(INDEX(Viviendas!$C$4:$AZ$4,$A30)="","",INDEX(Viviendas!$C$85:$AZ$85,$A30))</f>
        <v/>
      </c>
      <c r="I30" s="18" t="str">
        <f>IF(INDEX(Viviendas!$C$4:$AZ$4,$A30)="","",INDEX(Viviendas!$C$83:$AZ$83,$A30))</f>
        <v/>
      </c>
      <c r="J30" s="25" t="str">
        <f>IF(INDEX(Viviendas!$C$4:$AZ$4,$A30)="","",INDEX(Viviendas!$C$86:$AZ$86,$A30))</f>
        <v/>
      </c>
      <c r="K30" s="12" t="str">
        <f>IF(INDEX(Viviendas!$C$4:$AZ$4,$A30)="","",INDEX(Viviendas!$C$88:$AZ$88,$A30))</f>
        <v/>
      </c>
      <c r="L30" s="12" t="str">
        <f>IF(INDEX(Viviendas!$C$4:$AZ$4,$A30)="","",INDEX(Viviendas!$C$89:$AZ$89,$A30))</f>
        <v/>
      </c>
      <c r="M30" s="12" t="str">
        <f>IF(INDEX(Viviendas!$C$4:$AZ$4,$A30)="","",INDEX(Viviendas!$C$90:$AZ$90,$A30))</f>
        <v/>
      </c>
    </row>
    <row r="31" spans="1:13" x14ac:dyDescent="0.45">
      <c r="A31" s="23">
        <v>26</v>
      </c>
      <c r="B31" s="12" t="str">
        <f>IF(INDEX(Viviendas!$C$4:$AZ$4,$A31)="","",INDEX(Viviendas!$C$3:$AZ$3,$A31))</f>
        <v/>
      </c>
      <c r="C31" s="12" t="str">
        <f>IF(INDEX(Viviendas!$C$4:$AZ$4,$A31)="","",INDEX(Viviendas!$C$5:$AZ$5,$A31))</f>
        <v/>
      </c>
      <c r="D31" s="24" t="str">
        <f>IF(INDEX(Viviendas!$C$4:$AZ$4,$A31)="","",INDEX(Viviendas!$C$4:$AZ$4,$A31))</f>
        <v/>
      </c>
      <c r="E31" s="12" t="str">
        <f>IF(INDEX(Viviendas!$C$4:$AZ$4,$A31)="","",INDEX(Viviendas!$C$6:$AZ$6,$A31))</f>
        <v/>
      </c>
      <c r="F31" s="10" t="str">
        <f>IF(INDEX(Viviendas!$C$4:$AZ$4,$A31)="","",INDEX(Viviendas!$C$7:$AZ$7,$A31))</f>
        <v/>
      </c>
      <c r="G31" s="10" t="str">
        <f>IF(INDEX(Viviendas!$C$4:$AZ$4,$A31)="","",INDEX(Viviendas!$C$99:$AZ$99,$A31))</f>
        <v/>
      </c>
      <c r="H31" s="10" t="str">
        <f>IF(INDEX(Viviendas!$C$4:$AZ$4,$A31)="","",INDEX(Viviendas!$C$85:$AZ$85,$A31))</f>
        <v/>
      </c>
      <c r="I31" s="18" t="str">
        <f>IF(INDEX(Viviendas!$C$4:$AZ$4,$A31)="","",INDEX(Viviendas!$C$83:$AZ$83,$A31))</f>
        <v/>
      </c>
      <c r="J31" s="25" t="str">
        <f>IF(INDEX(Viviendas!$C$4:$AZ$4,$A31)="","",INDEX(Viviendas!$C$86:$AZ$86,$A31))</f>
        <v/>
      </c>
      <c r="K31" s="12" t="str">
        <f>IF(INDEX(Viviendas!$C$4:$AZ$4,$A31)="","",INDEX(Viviendas!$C$88:$AZ$88,$A31))</f>
        <v/>
      </c>
      <c r="L31" s="12" t="str">
        <f>IF(INDEX(Viviendas!$C$4:$AZ$4,$A31)="","",INDEX(Viviendas!$C$89:$AZ$89,$A31))</f>
        <v/>
      </c>
      <c r="M31" s="12" t="str">
        <f>IF(INDEX(Viviendas!$C$4:$AZ$4,$A31)="","",INDEX(Viviendas!$C$90:$AZ$90,$A31))</f>
        <v/>
      </c>
    </row>
    <row r="32" spans="1:13" x14ac:dyDescent="0.45">
      <c r="A32" s="23">
        <v>27</v>
      </c>
      <c r="B32" s="12" t="str">
        <f>IF(INDEX(Viviendas!$C$4:$AZ$4,$A32)="","",INDEX(Viviendas!$C$3:$AZ$3,$A32))</f>
        <v/>
      </c>
      <c r="C32" s="12" t="str">
        <f>IF(INDEX(Viviendas!$C$4:$AZ$4,$A32)="","",INDEX(Viviendas!$C$5:$AZ$5,$A32))</f>
        <v/>
      </c>
      <c r="D32" s="24" t="str">
        <f>IF(INDEX(Viviendas!$C$4:$AZ$4,$A32)="","",INDEX(Viviendas!$C$4:$AZ$4,$A32))</f>
        <v/>
      </c>
      <c r="E32" s="12" t="str">
        <f>IF(INDEX(Viviendas!$C$4:$AZ$4,$A32)="","",INDEX(Viviendas!$C$6:$AZ$6,$A32))</f>
        <v/>
      </c>
      <c r="F32" s="10" t="str">
        <f>IF(INDEX(Viviendas!$C$4:$AZ$4,$A32)="","",INDEX(Viviendas!$C$7:$AZ$7,$A32))</f>
        <v/>
      </c>
      <c r="G32" s="10" t="str">
        <f>IF(INDEX(Viviendas!$C$4:$AZ$4,$A32)="","",INDEX(Viviendas!$C$99:$AZ$99,$A32))</f>
        <v/>
      </c>
      <c r="H32" s="10" t="str">
        <f>IF(INDEX(Viviendas!$C$4:$AZ$4,$A32)="","",INDEX(Viviendas!$C$85:$AZ$85,$A32))</f>
        <v/>
      </c>
      <c r="I32" s="18" t="str">
        <f>IF(INDEX(Viviendas!$C$4:$AZ$4,$A32)="","",INDEX(Viviendas!$C$83:$AZ$83,$A32))</f>
        <v/>
      </c>
      <c r="J32" s="25" t="str">
        <f>IF(INDEX(Viviendas!$C$4:$AZ$4,$A32)="","",INDEX(Viviendas!$C$86:$AZ$86,$A32))</f>
        <v/>
      </c>
      <c r="K32" s="12" t="str">
        <f>IF(INDEX(Viviendas!$C$4:$AZ$4,$A32)="","",INDEX(Viviendas!$C$88:$AZ$88,$A32))</f>
        <v/>
      </c>
      <c r="L32" s="12" t="str">
        <f>IF(INDEX(Viviendas!$C$4:$AZ$4,$A32)="","",INDEX(Viviendas!$C$89:$AZ$89,$A32))</f>
        <v/>
      </c>
      <c r="M32" s="12" t="str">
        <f>IF(INDEX(Viviendas!$C$4:$AZ$4,$A32)="","",INDEX(Viviendas!$C$90:$AZ$90,$A32))</f>
        <v/>
      </c>
    </row>
    <row r="33" spans="1:13" x14ac:dyDescent="0.45">
      <c r="A33" s="23">
        <v>28</v>
      </c>
      <c r="B33" s="12" t="str">
        <f>IF(INDEX(Viviendas!$C$4:$AZ$4,$A33)="","",INDEX(Viviendas!$C$3:$AZ$3,$A33))</f>
        <v/>
      </c>
      <c r="C33" s="12" t="str">
        <f>IF(INDEX(Viviendas!$C$4:$AZ$4,$A33)="","",INDEX(Viviendas!$C$5:$AZ$5,$A33))</f>
        <v/>
      </c>
      <c r="D33" s="24" t="str">
        <f>IF(INDEX(Viviendas!$C$4:$AZ$4,$A33)="","",INDEX(Viviendas!$C$4:$AZ$4,$A33))</f>
        <v/>
      </c>
      <c r="E33" s="12" t="str">
        <f>IF(INDEX(Viviendas!$C$4:$AZ$4,$A33)="","",INDEX(Viviendas!$C$6:$AZ$6,$A33))</f>
        <v/>
      </c>
      <c r="F33" s="10" t="str">
        <f>IF(INDEX(Viviendas!$C$4:$AZ$4,$A33)="","",INDEX(Viviendas!$C$7:$AZ$7,$A33))</f>
        <v/>
      </c>
      <c r="G33" s="10" t="str">
        <f>IF(INDEX(Viviendas!$C$4:$AZ$4,$A33)="","",INDEX(Viviendas!$C$99:$AZ$99,$A33))</f>
        <v/>
      </c>
      <c r="H33" s="10" t="str">
        <f>IF(INDEX(Viviendas!$C$4:$AZ$4,$A33)="","",INDEX(Viviendas!$C$85:$AZ$85,$A33))</f>
        <v/>
      </c>
      <c r="I33" s="18" t="str">
        <f>IF(INDEX(Viviendas!$C$4:$AZ$4,$A33)="","",INDEX(Viviendas!$C$83:$AZ$83,$A33))</f>
        <v/>
      </c>
      <c r="J33" s="25" t="str">
        <f>IF(INDEX(Viviendas!$C$4:$AZ$4,$A33)="","",INDEX(Viviendas!$C$86:$AZ$86,$A33))</f>
        <v/>
      </c>
      <c r="K33" s="12" t="str">
        <f>IF(INDEX(Viviendas!$C$4:$AZ$4,$A33)="","",INDEX(Viviendas!$C$88:$AZ$88,$A33))</f>
        <v/>
      </c>
      <c r="L33" s="12" t="str">
        <f>IF(INDEX(Viviendas!$C$4:$AZ$4,$A33)="","",INDEX(Viviendas!$C$89:$AZ$89,$A33))</f>
        <v/>
      </c>
      <c r="M33" s="12" t="str">
        <f>IF(INDEX(Viviendas!$C$4:$AZ$4,$A33)="","",INDEX(Viviendas!$C$90:$AZ$90,$A33))</f>
        <v/>
      </c>
    </row>
    <row r="34" spans="1:13" x14ac:dyDescent="0.45">
      <c r="A34" s="23">
        <v>29</v>
      </c>
      <c r="B34" s="12" t="str">
        <f>IF(INDEX(Viviendas!$C$4:$AZ$4,$A34)="","",INDEX(Viviendas!$C$3:$AZ$3,$A34))</f>
        <v/>
      </c>
      <c r="C34" s="12" t="str">
        <f>IF(INDEX(Viviendas!$C$4:$AZ$4,$A34)="","",INDEX(Viviendas!$C$5:$AZ$5,$A34))</f>
        <v/>
      </c>
      <c r="D34" s="24" t="str">
        <f>IF(INDEX(Viviendas!$C$4:$AZ$4,$A34)="","",INDEX(Viviendas!$C$4:$AZ$4,$A34))</f>
        <v/>
      </c>
      <c r="E34" s="12" t="str">
        <f>IF(INDEX(Viviendas!$C$4:$AZ$4,$A34)="","",INDEX(Viviendas!$C$6:$AZ$6,$A34))</f>
        <v/>
      </c>
      <c r="F34" s="10" t="str">
        <f>IF(INDEX(Viviendas!$C$4:$AZ$4,$A34)="","",INDEX(Viviendas!$C$7:$AZ$7,$A34))</f>
        <v/>
      </c>
      <c r="G34" s="10" t="str">
        <f>IF(INDEX(Viviendas!$C$4:$AZ$4,$A34)="","",INDEX(Viviendas!$C$99:$AZ$99,$A34))</f>
        <v/>
      </c>
      <c r="H34" s="10" t="str">
        <f>IF(INDEX(Viviendas!$C$4:$AZ$4,$A34)="","",INDEX(Viviendas!$C$85:$AZ$85,$A34))</f>
        <v/>
      </c>
      <c r="I34" s="18" t="str">
        <f>IF(INDEX(Viviendas!$C$4:$AZ$4,$A34)="","",INDEX(Viviendas!$C$83:$AZ$83,$A34))</f>
        <v/>
      </c>
      <c r="J34" s="25" t="str">
        <f>IF(INDEX(Viviendas!$C$4:$AZ$4,$A34)="","",INDEX(Viviendas!$C$86:$AZ$86,$A34))</f>
        <v/>
      </c>
      <c r="K34" s="12" t="str">
        <f>IF(INDEX(Viviendas!$C$4:$AZ$4,$A34)="","",INDEX(Viviendas!$C$88:$AZ$88,$A34))</f>
        <v/>
      </c>
      <c r="L34" s="12" t="str">
        <f>IF(INDEX(Viviendas!$C$4:$AZ$4,$A34)="","",INDEX(Viviendas!$C$89:$AZ$89,$A34))</f>
        <v/>
      </c>
      <c r="M34" s="12" t="str">
        <f>IF(INDEX(Viviendas!$C$4:$AZ$4,$A34)="","",INDEX(Viviendas!$C$90:$AZ$90,$A34))</f>
        <v/>
      </c>
    </row>
    <row r="35" spans="1:13" x14ac:dyDescent="0.45">
      <c r="A35" s="23">
        <v>30</v>
      </c>
      <c r="B35" s="12" t="str">
        <f>IF(INDEX(Viviendas!$C$4:$AZ$4,$A35)="","",INDEX(Viviendas!$C$3:$AZ$3,$A35))</f>
        <v/>
      </c>
      <c r="C35" s="12" t="str">
        <f>IF(INDEX(Viviendas!$C$4:$AZ$4,$A35)="","",INDEX(Viviendas!$C$5:$AZ$5,$A35))</f>
        <v/>
      </c>
      <c r="D35" s="24" t="str">
        <f>IF(INDEX(Viviendas!$C$4:$AZ$4,$A35)="","",INDEX(Viviendas!$C$4:$AZ$4,$A35))</f>
        <v/>
      </c>
      <c r="E35" s="12" t="str">
        <f>IF(INDEX(Viviendas!$C$4:$AZ$4,$A35)="","",INDEX(Viviendas!$C$6:$AZ$6,$A35))</f>
        <v/>
      </c>
      <c r="F35" s="10" t="str">
        <f>IF(INDEX(Viviendas!$C$4:$AZ$4,$A35)="","",INDEX(Viviendas!$C$7:$AZ$7,$A35))</f>
        <v/>
      </c>
      <c r="G35" s="10" t="str">
        <f>IF(INDEX(Viviendas!$C$4:$AZ$4,$A35)="","",INDEX(Viviendas!$C$99:$AZ$99,$A35))</f>
        <v/>
      </c>
      <c r="H35" s="10" t="str">
        <f>IF(INDEX(Viviendas!$C$4:$AZ$4,$A35)="","",INDEX(Viviendas!$C$85:$AZ$85,$A35))</f>
        <v/>
      </c>
      <c r="I35" s="18" t="str">
        <f>IF(INDEX(Viviendas!$C$4:$AZ$4,$A35)="","",INDEX(Viviendas!$C$83:$AZ$83,$A35))</f>
        <v/>
      </c>
      <c r="J35" s="25" t="str">
        <f>IF(INDEX(Viviendas!$C$4:$AZ$4,$A35)="","",INDEX(Viviendas!$C$86:$AZ$86,$A35))</f>
        <v/>
      </c>
      <c r="K35" s="12" t="str">
        <f>IF(INDEX(Viviendas!$C$4:$AZ$4,$A35)="","",INDEX(Viviendas!$C$88:$AZ$88,$A35))</f>
        <v/>
      </c>
      <c r="L35" s="12" t="str">
        <f>IF(INDEX(Viviendas!$C$4:$AZ$4,$A35)="","",INDEX(Viviendas!$C$89:$AZ$89,$A35))</f>
        <v/>
      </c>
      <c r="M35" s="12" t="str">
        <f>IF(INDEX(Viviendas!$C$4:$AZ$4,$A35)="","",INDEX(Viviendas!$C$90:$AZ$90,$A35))</f>
        <v/>
      </c>
    </row>
    <row r="36" spans="1:13" x14ac:dyDescent="0.45">
      <c r="A36" s="23">
        <v>31</v>
      </c>
      <c r="B36" s="12" t="str">
        <f>IF(INDEX(Viviendas!$C$4:$AZ$4,$A36)="","",INDEX(Viviendas!$C$3:$AZ$3,$A36))</f>
        <v/>
      </c>
      <c r="C36" s="12" t="str">
        <f>IF(INDEX(Viviendas!$C$4:$AZ$4,$A36)="","",INDEX(Viviendas!$C$5:$AZ$5,$A36))</f>
        <v/>
      </c>
      <c r="D36" s="24" t="str">
        <f>IF(INDEX(Viviendas!$C$4:$AZ$4,$A36)="","",INDEX(Viviendas!$C$4:$AZ$4,$A36))</f>
        <v/>
      </c>
      <c r="E36" s="12" t="str">
        <f>IF(INDEX(Viviendas!$C$4:$AZ$4,$A36)="","",INDEX(Viviendas!$C$6:$AZ$6,$A36))</f>
        <v/>
      </c>
      <c r="F36" s="10" t="str">
        <f>IF(INDEX(Viviendas!$C$4:$AZ$4,$A36)="","",INDEX(Viviendas!$C$7:$AZ$7,$A36))</f>
        <v/>
      </c>
      <c r="G36" s="10" t="str">
        <f>IF(INDEX(Viviendas!$C$4:$AZ$4,$A36)="","",INDEX(Viviendas!$C$99:$AZ$99,$A36))</f>
        <v/>
      </c>
      <c r="H36" s="10" t="str">
        <f>IF(INDEX(Viviendas!$C$4:$AZ$4,$A36)="","",INDEX(Viviendas!$C$85:$AZ$85,$A36))</f>
        <v/>
      </c>
      <c r="I36" s="18" t="str">
        <f>IF(INDEX(Viviendas!$C$4:$AZ$4,$A36)="","",INDEX(Viviendas!$C$83:$AZ$83,$A36))</f>
        <v/>
      </c>
      <c r="J36" s="25" t="str">
        <f>IF(INDEX(Viviendas!$C$4:$AZ$4,$A36)="","",INDEX(Viviendas!$C$86:$AZ$86,$A36))</f>
        <v/>
      </c>
      <c r="K36" s="12" t="str">
        <f>IF(INDEX(Viviendas!$C$4:$AZ$4,$A36)="","",INDEX(Viviendas!$C$88:$AZ$88,$A36))</f>
        <v/>
      </c>
      <c r="L36" s="12" t="str">
        <f>IF(INDEX(Viviendas!$C$4:$AZ$4,$A36)="","",INDEX(Viviendas!$C$89:$AZ$89,$A36))</f>
        <v/>
      </c>
      <c r="M36" s="12" t="str">
        <f>IF(INDEX(Viviendas!$C$4:$AZ$4,$A36)="","",INDEX(Viviendas!$C$90:$AZ$90,$A36))</f>
        <v/>
      </c>
    </row>
    <row r="37" spans="1:13" x14ac:dyDescent="0.45">
      <c r="A37" s="23">
        <v>32</v>
      </c>
      <c r="B37" s="12" t="str">
        <f>IF(INDEX(Viviendas!$C$4:$AZ$4,$A37)="","",INDEX(Viviendas!$C$3:$AZ$3,$A37))</f>
        <v/>
      </c>
      <c r="C37" s="12" t="str">
        <f>IF(INDEX(Viviendas!$C$4:$AZ$4,$A37)="","",INDEX(Viviendas!$C$5:$AZ$5,$A37))</f>
        <v/>
      </c>
      <c r="D37" s="24" t="str">
        <f>IF(INDEX(Viviendas!$C$4:$AZ$4,$A37)="","",INDEX(Viviendas!$C$4:$AZ$4,$A37))</f>
        <v/>
      </c>
      <c r="E37" s="12" t="str">
        <f>IF(INDEX(Viviendas!$C$4:$AZ$4,$A37)="","",INDEX(Viviendas!$C$6:$AZ$6,$A37))</f>
        <v/>
      </c>
      <c r="F37" s="10" t="str">
        <f>IF(INDEX(Viviendas!$C$4:$AZ$4,$A37)="","",INDEX(Viviendas!$C$7:$AZ$7,$A37))</f>
        <v/>
      </c>
      <c r="G37" s="10" t="str">
        <f>IF(INDEX(Viviendas!$C$4:$AZ$4,$A37)="","",INDEX(Viviendas!$C$99:$AZ$99,$A37))</f>
        <v/>
      </c>
      <c r="H37" s="10" t="str">
        <f>IF(INDEX(Viviendas!$C$4:$AZ$4,$A37)="","",INDEX(Viviendas!$C$85:$AZ$85,$A37))</f>
        <v/>
      </c>
      <c r="I37" s="18" t="str">
        <f>IF(INDEX(Viviendas!$C$4:$AZ$4,$A37)="","",INDEX(Viviendas!$C$83:$AZ$83,$A37))</f>
        <v/>
      </c>
      <c r="J37" s="25" t="str">
        <f>IF(INDEX(Viviendas!$C$4:$AZ$4,$A37)="","",INDEX(Viviendas!$C$86:$AZ$86,$A37))</f>
        <v/>
      </c>
      <c r="K37" s="12" t="str">
        <f>IF(INDEX(Viviendas!$C$4:$AZ$4,$A37)="","",INDEX(Viviendas!$C$88:$AZ$88,$A37))</f>
        <v/>
      </c>
      <c r="L37" s="12" t="str">
        <f>IF(INDEX(Viviendas!$C$4:$AZ$4,$A37)="","",INDEX(Viviendas!$C$89:$AZ$89,$A37))</f>
        <v/>
      </c>
      <c r="M37" s="12" t="str">
        <f>IF(INDEX(Viviendas!$C$4:$AZ$4,$A37)="","",INDEX(Viviendas!$C$90:$AZ$90,$A37))</f>
        <v/>
      </c>
    </row>
    <row r="38" spans="1:13" x14ac:dyDescent="0.45">
      <c r="A38" s="23">
        <v>33</v>
      </c>
      <c r="B38" s="12" t="str">
        <f>IF(INDEX(Viviendas!$C$4:$AZ$4,$A38)="","",INDEX(Viviendas!$C$3:$AZ$3,$A38))</f>
        <v/>
      </c>
      <c r="C38" s="12" t="str">
        <f>IF(INDEX(Viviendas!$C$4:$AZ$4,$A38)="","",INDEX(Viviendas!$C$5:$AZ$5,$A38))</f>
        <v/>
      </c>
      <c r="D38" s="24" t="str">
        <f>IF(INDEX(Viviendas!$C$4:$AZ$4,$A38)="","",INDEX(Viviendas!$C$4:$AZ$4,$A38))</f>
        <v/>
      </c>
      <c r="E38" s="12" t="str">
        <f>IF(INDEX(Viviendas!$C$4:$AZ$4,$A38)="","",INDEX(Viviendas!$C$6:$AZ$6,$A38))</f>
        <v/>
      </c>
      <c r="F38" s="10" t="str">
        <f>IF(INDEX(Viviendas!$C$4:$AZ$4,$A38)="","",INDEX(Viviendas!$C$7:$AZ$7,$A38))</f>
        <v/>
      </c>
      <c r="G38" s="10" t="str">
        <f>IF(INDEX(Viviendas!$C$4:$AZ$4,$A38)="","",INDEX(Viviendas!$C$99:$AZ$99,$A38))</f>
        <v/>
      </c>
      <c r="H38" s="10" t="str">
        <f>IF(INDEX(Viviendas!$C$4:$AZ$4,$A38)="","",INDEX(Viviendas!$C$85:$AZ$85,$A38))</f>
        <v/>
      </c>
      <c r="I38" s="18" t="str">
        <f>IF(INDEX(Viviendas!$C$4:$AZ$4,$A38)="","",INDEX(Viviendas!$C$83:$AZ$83,$A38))</f>
        <v/>
      </c>
      <c r="J38" s="25" t="str">
        <f>IF(INDEX(Viviendas!$C$4:$AZ$4,$A38)="","",INDEX(Viviendas!$C$86:$AZ$86,$A38))</f>
        <v/>
      </c>
      <c r="K38" s="12" t="str">
        <f>IF(INDEX(Viviendas!$C$4:$AZ$4,$A38)="","",INDEX(Viviendas!$C$88:$AZ$88,$A38))</f>
        <v/>
      </c>
      <c r="L38" s="12" t="str">
        <f>IF(INDEX(Viviendas!$C$4:$AZ$4,$A38)="","",INDEX(Viviendas!$C$89:$AZ$89,$A38))</f>
        <v/>
      </c>
      <c r="M38" s="12" t="str">
        <f>IF(INDEX(Viviendas!$C$4:$AZ$4,$A38)="","",INDEX(Viviendas!$C$90:$AZ$90,$A38))</f>
        <v/>
      </c>
    </row>
    <row r="39" spans="1:13" x14ac:dyDescent="0.45">
      <c r="A39" s="23">
        <v>34</v>
      </c>
      <c r="B39" s="12" t="str">
        <f>IF(INDEX(Viviendas!$C$4:$AZ$4,$A39)="","",INDEX(Viviendas!$C$3:$AZ$3,$A39))</f>
        <v/>
      </c>
      <c r="C39" s="12" t="str">
        <f>IF(INDEX(Viviendas!$C$4:$AZ$4,$A39)="","",INDEX(Viviendas!$C$5:$AZ$5,$A39))</f>
        <v/>
      </c>
      <c r="D39" s="24" t="str">
        <f>IF(INDEX(Viviendas!$C$4:$AZ$4,$A39)="","",INDEX(Viviendas!$C$4:$AZ$4,$A39))</f>
        <v/>
      </c>
      <c r="E39" s="12" t="str">
        <f>IF(INDEX(Viviendas!$C$4:$AZ$4,$A39)="","",INDEX(Viviendas!$C$6:$AZ$6,$A39))</f>
        <v/>
      </c>
      <c r="F39" s="10" t="str">
        <f>IF(INDEX(Viviendas!$C$4:$AZ$4,$A39)="","",INDEX(Viviendas!$C$7:$AZ$7,$A39))</f>
        <v/>
      </c>
      <c r="G39" s="10" t="str">
        <f>IF(INDEX(Viviendas!$C$4:$AZ$4,$A39)="","",INDEX(Viviendas!$C$99:$AZ$99,$A39))</f>
        <v/>
      </c>
      <c r="H39" s="10" t="str">
        <f>IF(INDEX(Viviendas!$C$4:$AZ$4,$A39)="","",INDEX(Viviendas!$C$85:$AZ$85,$A39))</f>
        <v/>
      </c>
      <c r="I39" s="18" t="str">
        <f>IF(INDEX(Viviendas!$C$4:$AZ$4,$A39)="","",INDEX(Viviendas!$C$83:$AZ$83,$A39))</f>
        <v/>
      </c>
      <c r="J39" s="25" t="str">
        <f>IF(INDEX(Viviendas!$C$4:$AZ$4,$A39)="","",INDEX(Viviendas!$C$86:$AZ$86,$A39))</f>
        <v/>
      </c>
      <c r="K39" s="12" t="str">
        <f>IF(INDEX(Viviendas!$C$4:$AZ$4,$A39)="","",INDEX(Viviendas!$C$88:$AZ$88,$A39))</f>
        <v/>
      </c>
      <c r="L39" s="12" t="str">
        <f>IF(INDEX(Viviendas!$C$4:$AZ$4,$A39)="","",INDEX(Viviendas!$C$89:$AZ$89,$A39))</f>
        <v/>
      </c>
      <c r="M39" s="12" t="str">
        <f>IF(INDEX(Viviendas!$C$4:$AZ$4,$A39)="","",INDEX(Viviendas!$C$90:$AZ$90,$A39))</f>
        <v/>
      </c>
    </row>
    <row r="40" spans="1:13" x14ac:dyDescent="0.45">
      <c r="A40" s="23">
        <v>35</v>
      </c>
      <c r="B40" s="12" t="str">
        <f>IF(INDEX(Viviendas!$C$4:$AZ$4,$A40)="","",INDEX(Viviendas!$C$3:$AZ$3,$A40))</f>
        <v/>
      </c>
      <c r="C40" s="12" t="str">
        <f>IF(INDEX(Viviendas!$C$4:$AZ$4,$A40)="","",INDEX(Viviendas!$C$5:$AZ$5,$A40))</f>
        <v/>
      </c>
      <c r="D40" s="24" t="str">
        <f>IF(INDEX(Viviendas!$C$4:$AZ$4,$A40)="","",INDEX(Viviendas!$C$4:$AZ$4,$A40))</f>
        <v/>
      </c>
      <c r="E40" s="12" t="str">
        <f>IF(INDEX(Viviendas!$C$4:$AZ$4,$A40)="","",INDEX(Viviendas!$C$6:$AZ$6,$A40))</f>
        <v/>
      </c>
      <c r="F40" s="10" t="str">
        <f>IF(INDEX(Viviendas!$C$4:$AZ$4,$A40)="","",INDEX(Viviendas!$C$7:$AZ$7,$A40))</f>
        <v/>
      </c>
      <c r="G40" s="10" t="str">
        <f>IF(INDEX(Viviendas!$C$4:$AZ$4,$A40)="","",INDEX(Viviendas!$C$99:$AZ$99,$A40))</f>
        <v/>
      </c>
      <c r="H40" s="10" t="str">
        <f>IF(INDEX(Viviendas!$C$4:$AZ$4,$A40)="","",INDEX(Viviendas!$C$85:$AZ$85,$A40))</f>
        <v/>
      </c>
      <c r="I40" s="18" t="str">
        <f>IF(INDEX(Viviendas!$C$4:$AZ$4,$A40)="","",INDEX(Viviendas!$C$83:$AZ$83,$A40))</f>
        <v/>
      </c>
      <c r="J40" s="25" t="str">
        <f>IF(INDEX(Viviendas!$C$4:$AZ$4,$A40)="","",INDEX(Viviendas!$C$86:$AZ$86,$A40))</f>
        <v/>
      </c>
      <c r="K40" s="12" t="str">
        <f>IF(INDEX(Viviendas!$C$4:$AZ$4,$A40)="","",INDEX(Viviendas!$C$88:$AZ$88,$A40))</f>
        <v/>
      </c>
      <c r="L40" s="12" t="str">
        <f>IF(INDEX(Viviendas!$C$4:$AZ$4,$A40)="","",INDEX(Viviendas!$C$89:$AZ$89,$A40))</f>
        <v/>
      </c>
      <c r="M40" s="12" t="str">
        <f>IF(INDEX(Viviendas!$C$4:$AZ$4,$A40)="","",INDEX(Viviendas!$C$90:$AZ$90,$A40))</f>
        <v/>
      </c>
    </row>
    <row r="41" spans="1:13" x14ac:dyDescent="0.45">
      <c r="A41" s="23">
        <v>36</v>
      </c>
      <c r="B41" s="12" t="str">
        <f>IF(INDEX(Viviendas!$C$4:$AZ$4,$A41)="","",INDEX(Viviendas!$C$3:$AZ$3,$A41))</f>
        <v/>
      </c>
      <c r="C41" s="12" t="str">
        <f>IF(INDEX(Viviendas!$C$4:$AZ$4,$A41)="","",INDEX(Viviendas!$C$5:$AZ$5,$A41))</f>
        <v/>
      </c>
      <c r="D41" s="24" t="str">
        <f>IF(INDEX(Viviendas!$C$4:$AZ$4,$A41)="","",INDEX(Viviendas!$C$4:$AZ$4,$A41))</f>
        <v/>
      </c>
      <c r="E41" s="12" t="str">
        <f>IF(INDEX(Viviendas!$C$4:$AZ$4,$A41)="","",INDEX(Viviendas!$C$6:$AZ$6,$A41))</f>
        <v/>
      </c>
      <c r="F41" s="10" t="str">
        <f>IF(INDEX(Viviendas!$C$4:$AZ$4,$A41)="","",INDEX(Viviendas!$C$7:$AZ$7,$A41))</f>
        <v/>
      </c>
      <c r="G41" s="10" t="str">
        <f>IF(INDEX(Viviendas!$C$4:$AZ$4,$A41)="","",INDEX(Viviendas!$C$99:$AZ$99,$A41))</f>
        <v/>
      </c>
      <c r="H41" s="10" t="str">
        <f>IF(INDEX(Viviendas!$C$4:$AZ$4,$A41)="","",INDEX(Viviendas!$C$85:$AZ$85,$A41))</f>
        <v/>
      </c>
      <c r="I41" s="18" t="str">
        <f>IF(INDEX(Viviendas!$C$4:$AZ$4,$A41)="","",INDEX(Viviendas!$C$83:$AZ$83,$A41))</f>
        <v/>
      </c>
      <c r="J41" s="25" t="str">
        <f>IF(INDEX(Viviendas!$C$4:$AZ$4,$A41)="","",INDEX(Viviendas!$C$86:$AZ$86,$A41))</f>
        <v/>
      </c>
      <c r="K41" s="12" t="str">
        <f>IF(INDEX(Viviendas!$C$4:$AZ$4,$A41)="","",INDEX(Viviendas!$C$88:$AZ$88,$A41))</f>
        <v/>
      </c>
      <c r="L41" s="12" t="str">
        <f>IF(INDEX(Viviendas!$C$4:$AZ$4,$A41)="","",INDEX(Viviendas!$C$89:$AZ$89,$A41))</f>
        <v/>
      </c>
      <c r="M41" s="12" t="str">
        <f>IF(INDEX(Viviendas!$C$4:$AZ$4,$A41)="","",INDEX(Viviendas!$C$90:$AZ$90,$A41))</f>
        <v/>
      </c>
    </row>
    <row r="42" spans="1:13" x14ac:dyDescent="0.45">
      <c r="A42" s="23">
        <v>37</v>
      </c>
      <c r="B42" s="12" t="str">
        <f>IF(INDEX(Viviendas!$C$4:$AZ$4,$A42)="","",INDEX(Viviendas!$C$3:$AZ$3,$A42))</f>
        <v/>
      </c>
      <c r="C42" s="12" t="str">
        <f>IF(INDEX(Viviendas!$C$4:$AZ$4,$A42)="","",INDEX(Viviendas!$C$5:$AZ$5,$A42))</f>
        <v/>
      </c>
      <c r="D42" s="24" t="str">
        <f>IF(INDEX(Viviendas!$C$4:$AZ$4,$A42)="","",INDEX(Viviendas!$C$4:$AZ$4,$A42))</f>
        <v/>
      </c>
      <c r="E42" s="12" t="str">
        <f>IF(INDEX(Viviendas!$C$4:$AZ$4,$A42)="","",INDEX(Viviendas!$C$6:$AZ$6,$A42))</f>
        <v/>
      </c>
      <c r="F42" s="10" t="str">
        <f>IF(INDEX(Viviendas!$C$4:$AZ$4,$A42)="","",INDEX(Viviendas!$C$7:$AZ$7,$A42))</f>
        <v/>
      </c>
      <c r="G42" s="10" t="str">
        <f>IF(INDEX(Viviendas!$C$4:$AZ$4,$A42)="","",INDEX(Viviendas!$C$99:$AZ$99,$A42))</f>
        <v/>
      </c>
      <c r="H42" s="10" t="str">
        <f>IF(INDEX(Viviendas!$C$4:$AZ$4,$A42)="","",INDEX(Viviendas!$C$85:$AZ$85,$A42))</f>
        <v/>
      </c>
      <c r="I42" s="18" t="str">
        <f>IF(INDEX(Viviendas!$C$4:$AZ$4,$A42)="","",INDEX(Viviendas!$C$83:$AZ$83,$A42))</f>
        <v/>
      </c>
      <c r="J42" s="25" t="str">
        <f>IF(INDEX(Viviendas!$C$4:$AZ$4,$A42)="","",INDEX(Viviendas!$C$86:$AZ$86,$A42))</f>
        <v/>
      </c>
      <c r="K42" s="12" t="str">
        <f>IF(INDEX(Viviendas!$C$4:$AZ$4,$A42)="","",INDEX(Viviendas!$C$88:$AZ$88,$A42))</f>
        <v/>
      </c>
      <c r="L42" s="12" t="str">
        <f>IF(INDEX(Viviendas!$C$4:$AZ$4,$A42)="","",INDEX(Viviendas!$C$89:$AZ$89,$A42))</f>
        <v/>
      </c>
      <c r="M42" s="12" t="str">
        <f>IF(INDEX(Viviendas!$C$4:$AZ$4,$A42)="","",INDEX(Viviendas!$C$90:$AZ$90,$A42))</f>
        <v/>
      </c>
    </row>
    <row r="43" spans="1:13" x14ac:dyDescent="0.45">
      <c r="A43" s="23">
        <v>38</v>
      </c>
      <c r="B43" s="12" t="str">
        <f>IF(INDEX(Viviendas!$C$4:$AZ$4,$A43)="","",INDEX(Viviendas!$C$3:$AZ$3,$A43))</f>
        <v/>
      </c>
      <c r="C43" s="12" t="str">
        <f>IF(INDEX(Viviendas!$C$4:$AZ$4,$A43)="","",INDEX(Viviendas!$C$5:$AZ$5,$A43))</f>
        <v/>
      </c>
      <c r="D43" s="24" t="str">
        <f>IF(INDEX(Viviendas!$C$4:$AZ$4,$A43)="","",INDEX(Viviendas!$C$4:$AZ$4,$A43))</f>
        <v/>
      </c>
      <c r="E43" s="12" t="str">
        <f>IF(INDEX(Viviendas!$C$4:$AZ$4,$A43)="","",INDEX(Viviendas!$C$6:$AZ$6,$A43))</f>
        <v/>
      </c>
      <c r="F43" s="10" t="str">
        <f>IF(INDEX(Viviendas!$C$4:$AZ$4,$A43)="","",INDEX(Viviendas!$C$7:$AZ$7,$A43))</f>
        <v/>
      </c>
      <c r="G43" s="10" t="str">
        <f>IF(INDEX(Viviendas!$C$4:$AZ$4,$A43)="","",INDEX(Viviendas!$C$99:$AZ$99,$A43))</f>
        <v/>
      </c>
      <c r="H43" s="10" t="str">
        <f>IF(INDEX(Viviendas!$C$4:$AZ$4,$A43)="","",INDEX(Viviendas!$C$85:$AZ$85,$A43))</f>
        <v/>
      </c>
      <c r="I43" s="18" t="str">
        <f>IF(INDEX(Viviendas!$C$4:$AZ$4,$A43)="","",INDEX(Viviendas!$C$83:$AZ$83,$A43))</f>
        <v/>
      </c>
      <c r="J43" s="25" t="str">
        <f>IF(INDEX(Viviendas!$C$4:$AZ$4,$A43)="","",INDEX(Viviendas!$C$86:$AZ$86,$A43))</f>
        <v/>
      </c>
      <c r="K43" s="12" t="str">
        <f>IF(INDEX(Viviendas!$C$4:$AZ$4,$A43)="","",INDEX(Viviendas!$C$88:$AZ$88,$A43))</f>
        <v/>
      </c>
      <c r="L43" s="12" t="str">
        <f>IF(INDEX(Viviendas!$C$4:$AZ$4,$A43)="","",INDEX(Viviendas!$C$89:$AZ$89,$A43))</f>
        <v/>
      </c>
      <c r="M43" s="12" t="str">
        <f>IF(INDEX(Viviendas!$C$4:$AZ$4,$A43)="","",INDEX(Viviendas!$C$90:$AZ$90,$A43))</f>
        <v/>
      </c>
    </row>
    <row r="44" spans="1:13" x14ac:dyDescent="0.45">
      <c r="A44" s="23">
        <v>39</v>
      </c>
      <c r="B44" s="12" t="str">
        <f>IF(INDEX(Viviendas!$C$4:$AZ$4,$A44)="","",INDEX(Viviendas!$C$3:$AZ$3,$A44))</f>
        <v/>
      </c>
      <c r="C44" s="12" t="str">
        <f>IF(INDEX(Viviendas!$C$4:$AZ$4,$A44)="","",INDEX(Viviendas!$C$5:$AZ$5,$A44))</f>
        <v/>
      </c>
      <c r="D44" s="24" t="str">
        <f>IF(INDEX(Viviendas!$C$4:$AZ$4,$A44)="","",INDEX(Viviendas!$C$4:$AZ$4,$A44))</f>
        <v/>
      </c>
      <c r="E44" s="12" t="str">
        <f>IF(INDEX(Viviendas!$C$4:$AZ$4,$A44)="","",INDEX(Viviendas!$C$6:$AZ$6,$A44))</f>
        <v/>
      </c>
      <c r="F44" s="10" t="str">
        <f>IF(INDEX(Viviendas!$C$4:$AZ$4,$A44)="","",INDEX(Viviendas!$C$7:$AZ$7,$A44))</f>
        <v/>
      </c>
      <c r="G44" s="10" t="str">
        <f>IF(INDEX(Viviendas!$C$4:$AZ$4,$A44)="","",INDEX(Viviendas!$C$99:$AZ$99,$A44))</f>
        <v/>
      </c>
      <c r="H44" s="10" t="str">
        <f>IF(INDEX(Viviendas!$C$4:$AZ$4,$A44)="","",INDEX(Viviendas!$C$85:$AZ$85,$A44))</f>
        <v/>
      </c>
      <c r="I44" s="18" t="str">
        <f>IF(INDEX(Viviendas!$C$4:$AZ$4,$A44)="","",INDEX(Viviendas!$C$83:$AZ$83,$A44))</f>
        <v/>
      </c>
      <c r="J44" s="25" t="str">
        <f>IF(INDEX(Viviendas!$C$4:$AZ$4,$A44)="","",INDEX(Viviendas!$C$86:$AZ$86,$A44))</f>
        <v/>
      </c>
      <c r="K44" s="12" t="str">
        <f>IF(INDEX(Viviendas!$C$4:$AZ$4,$A44)="","",INDEX(Viviendas!$C$88:$AZ$88,$A44))</f>
        <v/>
      </c>
      <c r="L44" s="12" t="str">
        <f>IF(INDEX(Viviendas!$C$4:$AZ$4,$A44)="","",INDEX(Viviendas!$C$89:$AZ$89,$A44))</f>
        <v/>
      </c>
      <c r="M44" s="12" t="str">
        <f>IF(INDEX(Viviendas!$C$4:$AZ$4,$A44)="","",INDEX(Viviendas!$C$90:$AZ$90,$A44))</f>
        <v/>
      </c>
    </row>
    <row r="45" spans="1:13" x14ac:dyDescent="0.45">
      <c r="A45" s="23">
        <v>40</v>
      </c>
      <c r="B45" s="12" t="str">
        <f>IF(INDEX(Viviendas!$C$4:$AZ$4,$A45)="","",INDEX(Viviendas!$C$3:$AZ$3,$A45))</f>
        <v/>
      </c>
      <c r="C45" s="12" t="str">
        <f>IF(INDEX(Viviendas!$C$4:$AZ$4,$A45)="","",INDEX(Viviendas!$C$5:$AZ$5,$A45))</f>
        <v/>
      </c>
      <c r="D45" s="24" t="str">
        <f>IF(INDEX(Viviendas!$C$4:$AZ$4,$A45)="","",INDEX(Viviendas!$C$4:$AZ$4,$A45))</f>
        <v/>
      </c>
      <c r="E45" s="12" t="str">
        <f>IF(INDEX(Viviendas!$C$4:$AZ$4,$A45)="","",INDEX(Viviendas!$C$6:$AZ$6,$A45))</f>
        <v/>
      </c>
      <c r="F45" s="10" t="str">
        <f>IF(INDEX(Viviendas!$C$4:$AZ$4,$A45)="","",INDEX(Viviendas!$C$7:$AZ$7,$A45))</f>
        <v/>
      </c>
      <c r="G45" s="10" t="str">
        <f>IF(INDEX(Viviendas!$C$4:$AZ$4,$A45)="","",INDEX(Viviendas!$C$99:$AZ$99,$A45))</f>
        <v/>
      </c>
      <c r="H45" s="10" t="str">
        <f>IF(INDEX(Viviendas!$C$4:$AZ$4,$A45)="","",INDEX(Viviendas!$C$85:$AZ$85,$A45))</f>
        <v/>
      </c>
      <c r="I45" s="18" t="str">
        <f>IF(INDEX(Viviendas!$C$4:$AZ$4,$A45)="","",INDEX(Viviendas!$C$83:$AZ$83,$A45))</f>
        <v/>
      </c>
      <c r="J45" s="25" t="str">
        <f>IF(INDEX(Viviendas!$C$4:$AZ$4,$A45)="","",INDEX(Viviendas!$C$86:$AZ$86,$A45))</f>
        <v/>
      </c>
      <c r="K45" s="12" t="str">
        <f>IF(INDEX(Viviendas!$C$4:$AZ$4,$A45)="","",INDEX(Viviendas!$C$88:$AZ$88,$A45))</f>
        <v/>
      </c>
      <c r="L45" s="12" t="str">
        <f>IF(INDEX(Viviendas!$C$4:$AZ$4,$A45)="","",INDEX(Viviendas!$C$89:$AZ$89,$A45))</f>
        <v/>
      </c>
      <c r="M45" s="12" t="str">
        <f>IF(INDEX(Viviendas!$C$4:$AZ$4,$A45)="","",INDEX(Viviendas!$C$90:$AZ$90,$A45))</f>
        <v/>
      </c>
    </row>
    <row r="46" spans="1:13" x14ac:dyDescent="0.45">
      <c r="A46" s="23">
        <v>41</v>
      </c>
      <c r="B46" s="12" t="str">
        <f>IF(INDEX(Viviendas!$C$4:$AZ$4,$A46)="","",INDEX(Viviendas!$C$3:$AZ$3,$A46))</f>
        <v/>
      </c>
      <c r="C46" s="12" t="str">
        <f>IF(INDEX(Viviendas!$C$4:$AZ$4,$A46)="","",INDEX(Viviendas!$C$5:$AZ$5,$A46))</f>
        <v/>
      </c>
      <c r="D46" s="24" t="str">
        <f>IF(INDEX(Viviendas!$C$4:$AZ$4,$A46)="","",INDEX(Viviendas!$C$4:$AZ$4,$A46))</f>
        <v/>
      </c>
      <c r="E46" s="12" t="str">
        <f>IF(INDEX(Viviendas!$C$4:$AZ$4,$A46)="","",INDEX(Viviendas!$C$6:$AZ$6,$A46))</f>
        <v/>
      </c>
      <c r="F46" s="10" t="str">
        <f>IF(INDEX(Viviendas!$C$4:$AZ$4,$A46)="","",INDEX(Viviendas!$C$7:$AZ$7,$A46))</f>
        <v/>
      </c>
      <c r="G46" s="10" t="str">
        <f>IF(INDEX(Viviendas!$C$4:$AZ$4,$A46)="","",INDEX(Viviendas!$C$99:$AZ$99,$A46))</f>
        <v/>
      </c>
      <c r="H46" s="10" t="str">
        <f>IF(INDEX(Viviendas!$C$4:$AZ$4,$A46)="","",INDEX(Viviendas!$C$85:$AZ$85,$A46))</f>
        <v/>
      </c>
      <c r="I46" s="18" t="str">
        <f>IF(INDEX(Viviendas!$C$4:$AZ$4,$A46)="","",INDEX(Viviendas!$C$83:$AZ$83,$A46))</f>
        <v/>
      </c>
      <c r="J46" s="25" t="str">
        <f>IF(INDEX(Viviendas!$C$4:$AZ$4,$A46)="","",INDEX(Viviendas!$C$86:$AZ$86,$A46))</f>
        <v/>
      </c>
      <c r="K46" s="12" t="str">
        <f>IF(INDEX(Viviendas!$C$4:$AZ$4,$A46)="","",INDEX(Viviendas!$C$88:$AZ$88,$A46))</f>
        <v/>
      </c>
      <c r="L46" s="12" t="str">
        <f>IF(INDEX(Viviendas!$C$4:$AZ$4,$A46)="","",INDEX(Viviendas!$C$89:$AZ$89,$A46))</f>
        <v/>
      </c>
      <c r="M46" s="12" t="str">
        <f>IF(INDEX(Viviendas!$C$4:$AZ$4,$A46)="","",INDEX(Viviendas!$C$90:$AZ$90,$A46))</f>
        <v/>
      </c>
    </row>
    <row r="47" spans="1:13" x14ac:dyDescent="0.45">
      <c r="A47" s="23">
        <v>42</v>
      </c>
      <c r="B47" s="12" t="str">
        <f>IF(INDEX(Viviendas!$C$4:$AZ$4,$A47)="","",INDEX(Viviendas!$C$3:$AZ$3,$A47))</f>
        <v/>
      </c>
      <c r="C47" s="12" t="str">
        <f>IF(INDEX(Viviendas!$C$4:$AZ$4,$A47)="","",INDEX(Viviendas!$C$5:$AZ$5,$A47))</f>
        <v/>
      </c>
      <c r="D47" s="24" t="str">
        <f>IF(INDEX(Viviendas!$C$4:$AZ$4,$A47)="","",INDEX(Viviendas!$C$4:$AZ$4,$A47))</f>
        <v/>
      </c>
      <c r="E47" s="12" t="str">
        <f>IF(INDEX(Viviendas!$C$4:$AZ$4,$A47)="","",INDEX(Viviendas!$C$6:$AZ$6,$A47))</f>
        <v/>
      </c>
      <c r="F47" s="10" t="str">
        <f>IF(INDEX(Viviendas!$C$4:$AZ$4,$A47)="","",INDEX(Viviendas!$C$7:$AZ$7,$A47))</f>
        <v/>
      </c>
      <c r="G47" s="10" t="str">
        <f>IF(INDEX(Viviendas!$C$4:$AZ$4,$A47)="","",INDEX(Viviendas!$C$99:$AZ$99,$A47))</f>
        <v/>
      </c>
      <c r="H47" s="10" t="str">
        <f>IF(INDEX(Viviendas!$C$4:$AZ$4,$A47)="","",INDEX(Viviendas!$C$85:$AZ$85,$A47))</f>
        <v/>
      </c>
      <c r="I47" s="18" t="str">
        <f>IF(INDEX(Viviendas!$C$4:$AZ$4,$A47)="","",INDEX(Viviendas!$C$83:$AZ$83,$A47))</f>
        <v/>
      </c>
      <c r="J47" s="25" t="str">
        <f>IF(INDEX(Viviendas!$C$4:$AZ$4,$A47)="","",INDEX(Viviendas!$C$86:$AZ$86,$A47))</f>
        <v/>
      </c>
      <c r="K47" s="12" t="str">
        <f>IF(INDEX(Viviendas!$C$4:$AZ$4,$A47)="","",INDEX(Viviendas!$C$88:$AZ$88,$A47))</f>
        <v/>
      </c>
      <c r="L47" s="12" t="str">
        <f>IF(INDEX(Viviendas!$C$4:$AZ$4,$A47)="","",INDEX(Viviendas!$C$89:$AZ$89,$A47))</f>
        <v/>
      </c>
      <c r="M47" s="12" t="str">
        <f>IF(INDEX(Viviendas!$C$4:$AZ$4,$A47)="","",INDEX(Viviendas!$C$90:$AZ$90,$A47))</f>
        <v/>
      </c>
    </row>
    <row r="48" spans="1:13" x14ac:dyDescent="0.45">
      <c r="A48" s="23">
        <v>43</v>
      </c>
      <c r="B48" s="12" t="str">
        <f>IF(INDEX(Viviendas!$C$4:$AZ$4,$A48)="","",INDEX(Viviendas!$C$3:$AZ$3,$A48))</f>
        <v/>
      </c>
      <c r="C48" s="12" t="str">
        <f>IF(INDEX(Viviendas!$C$4:$AZ$4,$A48)="","",INDEX(Viviendas!$C$5:$AZ$5,$A48))</f>
        <v/>
      </c>
      <c r="D48" s="24" t="str">
        <f>IF(INDEX(Viviendas!$C$4:$AZ$4,$A48)="","",INDEX(Viviendas!$C$4:$AZ$4,$A48))</f>
        <v/>
      </c>
      <c r="E48" s="12" t="str">
        <f>IF(INDEX(Viviendas!$C$4:$AZ$4,$A48)="","",INDEX(Viviendas!$C$6:$AZ$6,$A48))</f>
        <v/>
      </c>
      <c r="F48" s="10" t="str">
        <f>IF(INDEX(Viviendas!$C$4:$AZ$4,$A48)="","",INDEX(Viviendas!$C$7:$AZ$7,$A48))</f>
        <v/>
      </c>
      <c r="G48" s="10" t="str">
        <f>IF(INDEX(Viviendas!$C$4:$AZ$4,$A48)="","",INDEX(Viviendas!$C$99:$AZ$99,$A48))</f>
        <v/>
      </c>
      <c r="H48" s="10" t="str">
        <f>IF(INDEX(Viviendas!$C$4:$AZ$4,$A48)="","",INDEX(Viviendas!$C$85:$AZ$85,$A48))</f>
        <v/>
      </c>
      <c r="I48" s="18" t="str">
        <f>IF(INDEX(Viviendas!$C$4:$AZ$4,$A48)="","",INDEX(Viviendas!$C$83:$AZ$83,$A48))</f>
        <v/>
      </c>
      <c r="J48" s="25" t="str">
        <f>IF(INDEX(Viviendas!$C$4:$AZ$4,$A48)="","",INDEX(Viviendas!$C$86:$AZ$86,$A48))</f>
        <v/>
      </c>
      <c r="K48" s="12" t="str">
        <f>IF(INDEX(Viviendas!$C$4:$AZ$4,$A48)="","",INDEX(Viviendas!$C$88:$AZ$88,$A48))</f>
        <v/>
      </c>
      <c r="L48" s="12" t="str">
        <f>IF(INDEX(Viviendas!$C$4:$AZ$4,$A48)="","",INDEX(Viviendas!$C$89:$AZ$89,$A48))</f>
        <v/>
      </c>
      <c r="M48" s="12" t="str">
        <f>IF(INDEX(Viviendas!$C$4:$AZ$4,$A48)="","",INDEX(Viviendas!$C$90:$AZ$90,$A48))</f>
        <v/>
      </c>
    </row>
    <row r="49" spans="1:13" x14ac:dyDescent="0.45">
      <c r="A49" s="23">
        <v>44</v>
      </c>
      <c r="B49" s="12" t="str">
        <f>IF(INDEX(Viviendas!$C$4:$AZ$4,$A49)="","",INDEX(Viviendas!$C$3:$AZ$3,$A49))</f>
        <v/>
      </c>
      <c r="C49" s="12" t="str">
        <f>IF(INDEX(Viviendas!$C$4:$AZ$4,$A49)="","",INDEX(Viviendas!$C$5:$AZ$5,$A49))</f>
        <v/>
      </c>
      <c r="D49" s="24" t="str">
        <f>IF(INDEX(Viviendas!$C$4:$AZ$4,$A49)="","",INDEX(Viviendas!$C$4:$AZ$4,$A49))</f>
        <v/>
      </c>
      <c r="E49" s="12" t="str">
        <f>IF(INDEX(Viviendas!$C$4:$AZ$4,$A49)="","",INDEX(Viviendas!$C$6:$AZ$6,$A49))</f>
        <v/>
      </c>
      <c r="F49" s="10" t="str">
        <f>IF(INDEX(Viviendas!$C$4:$AZ$4,$A49)="","",INDEX(Viviendas!$C$7:$AZ$7,$A49))</f>
        <v/>
      </c>
      <c r="G49" s="10" t="str">
        <f>IF(INDEX(Viviendas!$C$4:$AZ$4,$A49)="","",INDEX(Viviendas!$C$99:$AZ$99,$A49))</f>
        <v/>
      </c>
      <c r="H49" s="10" t="str">
        <f>IF(INDEX(Viviendas!$C$4:$AZ$4,$A49)="","",INDEX(Viviendas!$C$85:$AZ$85,$A49))</f>
        <v/>
      </c>
      <c r="I49" s="18" t="str">
        <f>IF(INDEX(Viviendas!$C$4:$AZ$4,$A49)="","",INDEX(Viviendas!$C$83:$AZ$83,$A49))</f>
        <v/>
      </c>
      <c r="J49" s="25" t="str">
        <f>IF(INDEX(Viviendas!$C$4:$AZ$4,$A49)="","",INDEX(Viviendas!$C$86:$AZ$86,$A49))</f>
        <v/>
      </c>
      <c r="K49" s="12" t="str">
        <f>IF(INDEX(Viviendas!$C$4:$AZ$4,$A49)="","",INDEX(Viviendas!$C$88:$AZ$88,$A49))</f>
        <v/>
      </c>
      <c r="L49" s="12" t="str">
        <f>IF(INDEX(Viviendas!$C$4:$AZ$4,$A49)="","",INDEX(Viviendas!$C$89:$AZ$89,$A49))</f>
        <v/>
      </c>
      <c r="M49" s="12" t="str">
        <f>IF(INDEX(Viviendas!$C$4:$AZ$4,$A49)="","",INDEX(Viviendas!$C$90:$AZ$90,$A49))</f>
        <v/>
      </c>
    </row>
    <row r="50" spans="1:13" x14ac:dyDescent="0.45">
      <c r="A50" s="23">
        <v>45</v>
      </c>
      <c r="B50" s="12" t="str">
        <f>IF(INDEX(Viviendas!$C$4:$AZ$4,$A50)="","",INDEX(Viviendas!$C$3:$AZ$3,$A50))</f>
        <v/>
      </c>
      <c r="C50" s="12" t="str">
        <f>IF(INDEX(Viviendas!$C$4:$AZ$4,$A50)="","",INDEX(Viviendas!$C$5:$AZ$5,$A50))</f>
        <v/>
      </c>
      <c r="D50" s="24" t="str">
        <f>IF(INDEX(Viviendas!$C$4:$AZ$4,$A50)="","",INDEX(Viviendas!$C$4:$AZ$4,$A50))</f>
        <v/>
      </c>
      <c r="E50" s="12" t="str">
        <f>IF(INDEX(Viviendas!$C$4:$AZ$4,$A50)="","",INDEX(Viviendas!$C$6:$AZ$6,$A50))</f>
        <v/>
      </c>
      <c r="F50" s="10" t="str">
        <f>IF(INDEX(Viviendas!$C$4:$AZ$4,$A50)="","",INDEX(Viviendas!$C$7:$AZ$7,$A50))</f>
        <v/>
      </c>
      <c r="G50" s="10" t="str">
        <f>IF(INDEX(Viviendas!$C$4:$AZ$4,$A50)="","",INDEX(Viviendas!$C$99:$AZ$99,$A50))</f>
        <v/>
      </c>
      <c r="H50" s="10" t="str">
        <f>IF(INDEX(Viviendas!$C$4:$AZ$4,$A50)="","",INDEX(Viviendas!$C$85:$AZ$85,$A50))</f>
        <v/>
      </c>
      <c r="I50" s="18" t="str">
        <f>IF(INDEX(Viviendas!$C$4:$AZ$4,$A50)="","",INDEX(Viviendas!$C$83:$AZ$83,$A50))</f>
        <v/>
      </c>
      <c r="J50" s="25" t="str">
        <f>IF(INDEX(Viviendas!$C$4:$AZ$4,$A50)="","",INDEX(Viviendas!$C$86:$AZ$86,$A50))</f>
        <v/>
      </c>
      <c r="K50" s="12" t="str">
        <f>IF(INDEX(Viviendas!$C$4:$AZ$4,$A50)="","",INDEX(Viviendas!$C$88:$AZ$88,$A50))</f>
        <v/>
      </c>
      <c r="L50" s="12" t="str">
        <f>IF(INDEX(Viviendas!$C$4:$AZ$4,$A50)="","",INDEX(Viviendas!$C$89:$AZ$89,$A50))</f>
        <v/>
      </c>
      <c r="M50" s="12" t="str">
        <f>IF(INDEX(Viviendas!$C$4:$AZ$4,$A50)="","",INDEX(Viviendas!$C$90:$AZ$90,$A50))</f>
        <v/>
      </c>
    </row>
    <row r="51" spans="1:13" x14ac:dyDescent="0.45">
      <c r="A51" s="23">
        <v>46</v>
      </c>
      <c r="B51" s="12" t="str">
        <f>IF(INDEX(Viviendas!$C$4:$AZ$4,$A51)="","",INDEX(Viviendas!$C$3:$AZ$3,$A51))</f>
        <v/>
      </c>
      <c r="C51" s="12" t="str">
        <f>IF(INDEX(Viviendas!$C$4:$AZ$4,$A51)="","",INDEX(Viviendas!$C$5:$AZ$5,$A51))</f>
        <v/>
      </c>
      <c r="D51" s="24" t="str">
        <f>IF(INDEX(Viviendas!$C$4:$AZ$4,$A51)="","",INDEX(Viviendas!$C$4:$AZ$4,$A51))</f>
        <v/>
      </c>
      <c r="E51" s="12" t="str">
        <f>IF(INDEX(Viviendas!$C$4:$AZ$4,$A51)="","",INDEX(Viviendas!$C$6:$AZ$6,$A51))</f>
        <v/>
      </c>
      <c r="F51" s="10" t="str">
        <f>IF(INDEX(Viviendas!$C$4:$AZ$4,$A51)="","",INDEX(Viviendas!$C$7:$AZ$7,$A51))</f>
        <v/>
      </c>
      <c r="G51" s="10" t="str">
        <f>IF(INDEX(Viviendas!$C$4:$AZ$4,$A51)="","",INDEX(Viviendas!$C$99:$AZ$99,$A51))</f>
        <v/>
      </c>
      <c r="H51" s="10" t="str">
        <f>IF(INDEX(Viviendas!$C$4:$AZ$4,$A51)="","",INDEX(Viviendas!$C$85:$AZ$85,$A51))</f>
        <v/>
      </c>
      <c r="I51" s="18" t="str">
        <f>IF(INDEX(Viviendas!$C$4:$AZ$4,$A51)="","",INDEX(Viviendas!$C$83:$AZ$83,$A51))</f>
        <v/>
      </c>
      <c r="J51" s="25" t="str">
        <f>IF(INDEX(Viviendas!$C$4:$AZ$4,$A51)="","",INDEX(Viviendas!$C$86:$AZ$86,$A51))</f>
        <v/>
      </c>
      <c r="K51" s="12" t="str">
        <f>IF(INDEX(Viviendas!$C$4:$AZ$4,$A51)="","",INDEX(Viviendas!$C$88:$AZ$88,$A51))</f>
        <v/>
      </c>
      <c r="L51" s="12" t="str">
        <f>IF(INDEX(Viviendas!$C$4:$AZ$4,$A51)="","",INDEX(Viviendas!$C$89:$AZ$89,$A51))</f>
        <v/>
      </c>
      <c r="M51" s="12" t="str">
        <f>IF(INDEX(Viviendas!$C$4:$AZ$4,$A51)="","",INDEX(Viviendas!$C$90:$AZ$90,$A51))</f>
        <v/>
      </c>
    </row>
    <row r="52" spans="1:13" x14ac:dyDescent="0.45">
      <c r="A52" s="23">
        <v>47</v>
      </c>
      <c r="B52" s="12" t="str">
        <f>IF(INDEX(Viviendas!$C$4:$AZ$4,$A52)="","",INDEX(Viviendas!$C$3:$AZ$3,$A52))</f>
        <v/>
      </c>
      <c r="C52" s="12" t="str">
        <f>IF(INDEX(Viviendas!$C$4:$AZ$4,$A52)="","",INDEX(Viviendas!$C$5:$AZ$5,$A52))</f>
        <v/>
      </c>
      <c r="D52" s="24" t="str">
        <f>IF(INDEX(Viviendas!$C$4:$AZ$4,$A52)="","",INDEX(Viviendas!$C$4:$AZ$4,$A52))</f>
        <v/>
      </c>
      <c r="E52" s="12" t="str">
        <f>IF(INDEX(Viviendas!$C$4:$AZ$4,$A52)="","",INDEX(Viviendas!$C$6:$AZ$6,$A52))</f>
        <v/>
      </c>
      <c r="F52" s="10" t="str">
        <f>IF(INDEX(Viviendas!$C$4:$AZ$4,$A52)="","",INDEX(Viviendas!$C$7:$AZ$7,$A52))</f>
        <v/>
      </c>
      <c r="G52" s="10" t="str">
        <f>IF(INDEX(Viviendas!$C$4:$AZ$4,$A52)="","",INDEX(Viviendas!$C$99:$AZ$99,$A52))</f>
        <v/>
      </c>
      <c r="H52" s="10" t="str">
        <f>IF(INDEX(Viviendas!$C$4:$AZ$4,$A52)="","",INDEX(Viviendas!$C$85:$AZ$85,$A52))</f>
        <v/>
      </c>
      <c r="I52" s="18" t="str">
        <f>IF(INDEX(Viviendas!$C$4:$AZ$4,$A52)="","",INDEX(Viviendas!$C$83:$AZ$83,$A52))</f>
        <v/>
      </c>
      <c r="J52" s="25" t="str">
        <f>IF(INDEX(Viviendas!$C$4:$AZ$4,$A52)="","",INDEX(Viviendas!$C$86:$AZ$86,$A52))</f>
        <v/>
      </c>
      <c r="K52" s="12" t="str">
        <f>IF(INDEX(Viviendas!$C$4:$AZ$4,$A52)="","",INDEX(Viviendas!$C$88:$AZ$88,$A52))</f>
        <v/>
      </c>
      <c r="L52" s="12" t="str">
        <f>IF(INDEX(Viviendas!$C$4:$AZ$4,$A52)="","",INDEX(Viviendas!$C$89:$AZ$89,$A52))</f>
        <v/>
      </c>
      <c r="M52" s="12" t="str">
        <f>IF(INDEX(Viviendas!$C$4:$AZ$4,$A52)="","",INDEX(Viviendas!$C$90:$AZ$90,$A52))</f>
        <v/>
      </c>
    </row>
    <row r="53" spans="1:13" x14ac:dyDescent="0.45">
      <c r="A53" s="23">
        <v>48</v>
      </c>
      <c r="B53" s="12" t="str">
        <f>IF(INDEX(Viviendas!$C$4:$AZ$4,$A53)="","",INDEX(Viviendas!$C$3:$AZ$3,$A53))</f>
        <v/>
      </c>
      <c r="C53" s="12" t="str">
        <f>IF(INDEX(Viviendas!$C$4:$AZ$4,$A53)="","",INDEX(Viviendas!$C$5:$AZ$5,$A53))</f>
        <v/>
      </c>
      <c r="D53" s="24" t="str">
        <f>IF(INDEX(Viviendas!$C$4:$AZ$4,$A53)="","",INDEX(Viviendas!$C$4:$AZ$4,$A53))</f>
        <v/>
      </c>
      <c r="E53" s="12" t="str">
        <f>IF(INDEX(Viviendas!$C$4:$AZ$4,$A53)="","",INDEX(Viviendas!$C$6:$AZ$6,$A53))</f>
        <v/>
      </c>
      <c r="F53" s="10" t="str">
        <f>IF(INDEX(Viviendas!$C$4:$AZ$4,$A53)="","",INDEX(Viviendas!$C$7:$AZ$7,$A53))</f>
        <v/>
      </c>
      <c r="G53" s="10" t="str">
        <f>IF(INDEX(Viviendas!$C$4:$AZ$4,$A53)="","",INDEX(Viviendas!$C$99:$AZ$99,$A53))</f>
        <v/>
      </c>
      <c r="H53" s="10" t="str">
        <f>IF(INDEX(Viviendas!$C$4:$AZ$4,$A53)="","",INDEX(Viviendas!$C$85:$AZ$85,$A53))</f>
        <v/>
      </c>
      <c r="I53" s="18" t="str">
        <f>IF(INDEX(Viviendas!$C$4:$AZ$4,$A53)="","",INDEX(Viviendas!$C$83:$AZ$83,$A53))</f>
        <v/>
      </c>
      <c r="J53" s="25" t="str">
        <f>IF(INDEX(Viviendas!$C$4:$AZ$4,$A53)="","",INDEX(Viviendas!$C$86:$AZ$86,$A53))</f>
        <v/>
      </c>
      <c r="K53" s="12" t="str">
        <f>IF(INDEX(Viviendas!$C$4:$AZ$4,$A53)="","",INDEX(Viviendas!$C$88:$AZ$88,$A53))</f>
        <v/>
      </c>
      <c r="L53" s="12" t="str">
        <f>IF(INDEX(Viviendas!$C$4:$AZ$4,$A53)="","",INDEX(Viviendas!$C$89:$AZ$89,$A53))</f>
        <v/>
      </c>
      <c r="M53" s="12" t="str">
        <f>IF(INDEX(Viviendas!$C$4:$AZ$4,$A53)="","",INDEX(Viviendas!$C$90:$AZ$90,$A53))</f>
        <v/>
      </c>
    </row>
    <row r="54" spans="1:13" x14ac:dyDescent="0.45">
      <c r="A54" s="23">
        <v>49</v>
      </c>
      <c r="B54" s="12" t="str">
        <f>IF(INDEX(Viviendas!$C$4:$AZ$4,$A54)="","",INDEX(Viviendas!$C$3:$AZ$3,$A54))</f>
        <v/>
      </c>
      <c r="C54" s="12" t="str">
        <f>IF(INDEX(Viviendas!$C$4:$AZ$4,$A54)="","",INDEX(Viviendas!$C$5:$AZ$5,$A54))</f>
        <v/>
      </c>
      <c r="D54" s="24" t="str">
        <f>IF(INDEX(Viviendas!$C$4:$AZ$4,$A54)="","",INDEX(Viviendas!$C$4:$AZ$4,$A54))</f>
        <v/>
      </c>
      <c r="E54" s="12" t="str">
        <f>IF(INDEX(Viviendas!$C$4:$AZ$4,$A54)="","",INDEX(Viviendas!$C$6:$AZ$6,$A54))</f>
        <v/>
      </c>
      <c r="F54" s="10" t="str">
        <f>IF(INDEX(Viviendas!$C$4:$AZ$4,$A54)="","",INDEX(Viviendas!$C$7:$AZ$7,$A54))</f>
        <v/>
      </c>
      <c r="G54" s="10" t="str">
        <f>IF(INDEX(Viviendas!$C$4:$AZ$4,$A54)="","",INDEX(Viviendas!$C$99:$AZ$99,$A54))</f>
        <v/>
      </c>
      <c r="H54" s="10" t="str">
        <f>IF(INDEX(Viviendas!$C$4:$AZ$4,$A54)="","",INDEX(Viviendas!$C$85:$AZ$85,$A54))</f>
        <v/>
      </c>
      <c r="I54" s="18" t="str">
        <f>IF(INDEX(Viviendas!$C$4:$AZ$4,$A54)="","",INDEX(Viviendas!$C$83:$AZ$83,$A54))</f>
        <v/>
      </c>
      <c r="J54" s="25" t="str">
        <f>IF(INDEX(Viviendas!$C$4:$AZ$4,$A54)="","",INDEX(Viviendas!$C$86:$AZ$86,$A54))</f>
        <v/>
      </c>
      <c r="K54" s="12" t="str">
        <f>IF(INDEX(Viviendas!$C$4:$AZ$4,$A54)="","",INDEX(Viviendas!$C$88:$AZ$88,$A54))</f>
        <v/>
      </c>
      <c r="L54" s="12" t="str">
        <f>IF(INDEX(Viviendas!$C$4:$AZ$4,$A54)="","",INDEX(Viviendas!$C$89:$AZ$89,$A54))</f>
        <v/>
      </c>
      <c r="M54" s="12" t="str">
        <f>IF(INDEX(Viviendas!$C$4:$AZ$4,$A54)="","",INDEX(Viviendas!$C$90:$AZ$90,$A54))</f>
        <v/>
      </c>
    </row>
    <row r="55" spans="1:13" x14ac:dyDescent="0.45">
      <c r="A55" s="23">
        <v>50</v>
      </c>
      <c r="B55" s="12" t="str">
        <f>IF(INDEX(Viviendas!$C$4:$AZ$4,$A55)="","",INDEX(Viviendas!$C$3:$AZ$3,$A55))</f>
        <v/>
      </c>
      <c r="C55" s="12" t="str">
        <f>IF(INDEX(Viviendas!$C$4:$AZ$4,$A55)="","",INDEX(Viviendas!$C$5:$AZ$5,$A55))</f>
        <v/>
      </c>
      <c r="D55" s="24" t="str">
        <f>IF(INDEX(Viviendas!$C$4:$AZ$4,$A55)="","",INDEX(Viviendas!$C$4:$AZ$4,$A55))</f>
        <v/>
      </c>
      <c r="E55" s="12" t="str">
        <f>IF(INDEX(Viviendas!$C$4:$AZ$4,$A55)="","",INDEX(Viviendas!$C$6:$AZ$6,$A55))</f>
        <v/>
      </c>
      <c r="F55" s="10" t="str">
        <f>IF(INDEX(Viviendas!$C$4:$AZ$4,$A55)="","",INDEX(Viviendas!$C$7:$AZ$7,$A55))</f>
        <v/>
      </c>
      <c r="G55" s="10" t="str">
        <f>IF(INDEX(Viviendas!$C$4:$AZ$4,$A55)="","",INDEX(Viviendas!$C$99:$AZ$99,$A55))</f>
        <v/>
      </c>
      <c r="H55" s="10" t="str">
        <f>IF(INDEX(Viviendas!$C$4:$AZ$4,$A55)="","",INDEX(Viviendas!$C$85:$AZ$85,$A55))</f>
        <v/>
      </c>
      <c r="I55" s="18" t="str">
        <f>IF(INDEX(Viviendas!$C$4:$AZ$4,$A55)="","",INDEX(Viviendas!$C$83:$AZ$83,$A55))</f>
        <v/>
      </c>
      <c r="J55" s="25" t="str">
        <f>IF(INDEX(Viviendas!$C$4:$AZ$4,$A55)="","",INDEX(Viviendas!$C$86:$AZ$86,$A55))</f>
        <v/>
      </c>
      <c r="K55" s="12" t="str">
        <f>IF(INDEX(Viviendas!$C$4:$AZ$4,$A55)="","",INDEX(Viviendas!$C$88:$AZ$88,$A55))</f>
        <v/>
      </c>
      <c r="L55" s="12" t="str">
        <f>IF(INDEX(Viviendas!$C$4:$AZ$4,$A55)="","",INDEX(Viviendas!$C$89:$AZ$89,$A55))</f>
        <v/>
      </c>
      <c r="M55" s="12" t="str">
        <f>IF(INDEX(Viviendas!$C$4:$AZ$4,$A55)="","",INDEX(Viviendas!$C$90:$AZ$90,$A55))</f>
        <v/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AbrirCajaSeleccion">
                <anchor>
                  <from>
                    <xdr:col>0</xdr:col>
                    <xdr:colOff>352425</xdr:colOff>
                    <xdr:row>2</xdr:row>
                    <xdr:rowOff>0</xdr:rowOff>
                  </from>
                  <to>
                    <xdr:col>2</xdr:col>
                    <xdr:colOff>638175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gregarVivienda">
                <anchor>
                  <from>
                    <xdr:col>4</xdr:col>
                    <xdr:colOff>704850</xdr:colOff>
                    <xdr:row>2</xdr:row>
                    <xdr:rowOff>0</xdr:rowOff>
                  </from>
                  <to>
                    <xdr:col>7</xdr:col>
                    <xdr:colOff>57150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QuitarVivienda">
                <anchor>
                  <from>
                    <xdr:col>7</xdr:col>
                    <xdr:colOff>771525</xdr:colOff>
                    <xdr:row>2</xdr:row>
                    <xdr:rowOff>0</xdr:rowOff>
                  </from>
                  <to>
                    <xdr:col>10</xdr:col>
                    <xdr:colOff>342900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63"/>
  <sheetViews>
    <sheetView workbookViewId="0">
      <pane xSplit="2" ySplit="8" topLeftCell="C9" activePane="bottomRight" state="frozen"/>
      <selection pane="topRight"/>
      <selection pane="bottomLeft"/>
      <selection pane="bottomRight"/>
    </sheetView>
  </sheetViews>
  <sheetFormatPr defaultRowHeight="14.25" outlineLevelRow="1" x14ac:dyDescent="0.45"/>
  <cols>
    <col min="1" max="1" width="52" customWidth="1"/>
    <col min="2" max="2" width="12" customWidth="1"/>
    <col min="3" max="52" width="20" customWidth="1"/>
  </cols>
  <sheetData>
    <row r="1" spans="1:3" ht="16.899999999999999" x14ac:dyDescent="0.5">
      <c r="A1" s="26" t="s">
        <v>123</v>
      </c>
    </row>
    <row r="2" spans="1:3" x14ac:dyDescent="0.45">
      <c r="A2" s="16" t="s">
        <v>124</v>
      </c>
    </row>
    <row r="3" spans="1:3" x14ac:dyDescent="0.45">
      <c r="A3" s="4" t="s">
        <v>7</v>
      </c>
      <c r="B3" s="7" t="s">
        <v>125</v>
      </c>
      <c r="C3" s="21" t="s">
        <v>22</v>
      </c>
    </row>
    <row r="4" spans="1:3" x14ac:dyDescent="0.45">
      <c r="A4" s="4" t="s">
        <v>115</v>
      </c>
      <c r="C4" s="21" t="s">
        <v>126</v>
      </c>
    </row>
    <row r="5" spans="1:3" x14ac:dyDescent="0.45">
      <c r="A5" s="17" t="s">
        <v>114</v>
      </c>
      <c r="C5" s="21" t="s">
        <v>127</v>
      </c>
    </row>
    <row r="6" spans="1:3" x14ac:dyDescent="0.45">
      <c r="A6" s="17" t="s">
        <v>128</v>
      </c>
      <c r="C6" s="21">
        <v>1</v>
      </c>
    </row>
    <row r="7" spans="1:3" x14ac:dyDescent="0.45">
      <c r="A7" s="17" t="s">
        <v>117</v>
      </c>
      <c r="C7" s="5">
        <v>629</v>
      </c>
    </row>
    <row r="8" spans="1:3" x14ac:dyDescent="0.45">
      <c r="A8" s="17" t="s">
        <v>129</v>
      </c>
      <c r="C8" s="21"/>
    </row>
    <row r="9" spans="1:3" x14ac:dyDescent="0.45">
      <c r="A9" s="27" t="s">
        <v>130</v>
      </c>
      <c r="B9" s="27"/>
      <c r="C9" s="27"/>
    </row>
    <row r="10" spans="1:3" x14ac:dyDescent="0.45">
      <c r="A10" s="17" t="s">
        <v>131</v>
      </c>
      <c r="B10" s="12">
        <f>p_lightVA</f>
        <v>33</v>
      </c>
      <c r="C10" s="5">
        <v>20</v>
      </c>
    </row>
    <row r="11" spans="1:3" x14ac:dyDescent="0.45">
      <c r="A11" s="17" t="s">
        <v>132</v>
      </c>
      <c r="B11" s="12">
        <f>p_recDwVAm2</f>
        <v>0</v>
      </c>
      <c r="C11" s="5">
        <v>30</v>
      </c>
    </row>
    <row r="12" spans="1:3" x14ac:dyDescent="0.45">
      <c r="A12" s="17" t="s">
        <v>133</v>
      </c>
      <c r="B12" s="12">
        <f>p_extDwVAm2</f>
        <v>0</v>
      </c>
      <c r="C12" s="5">
        <v>5</v>
      </c>
    </row>
    <row r="13" spans="1:3" x14ac:dyDescent="0.45">
      <c r="A13" s="17" t="s">
        <v>134</v>
      </c>
      <c r="B13" s="12">
        <f>p_sacN*p_sacVA</f>
        <v>3000</v>
      </c>
      <c r="C13" s="5">
        <v>3000</v>
      </c>
    </row>
    <row r="14" spans="1:3" x14ac:dyDescent="0.45">
      <c r="A14" s="17" t="s">
        <v>135</v>
      </c>
      <c r="B14" s="12">
        <f>p_lavVA</f>
        <v>1500</v>
      </c>
      <c r="C14" s="5">
        <v>1500</v>
      </c>
    </row>
    <row r="15" spans="1:3" x14ac:dyDescent="0.45">
      <c r="A15" s="17" t="s">
        <v>136</v>
      </c>
      <c r="B15" s="12">
        <f>p_gfciVA</f>
        <v>0</v>
      </c>
      <c r="C15" s="5">
        <v>1000</v>
      </c>
    </row>
    <row r="16" spans="1:3" x14ac:dyDescent="0.45">
      <c r="A16" s="17" t="s">
        <v>137</v>
      </c>
      <c r="B16" s="12">
        <f>p_telecomVA</f>
        <v>0</v>
      </c>
      <c r="C16" s="5">
        <v>1500</v>
      </c>
    </row>
    <row r="17" spans="1:3" x14ac:dyDescent="0.45">
      <c r="A17" s="17" t="s">
        <v>138</v>
      </c>
      <c r="B17" s="12">
        <f>p_detectVA</f>
        <v>0</v>
      </c>
      <c r="C17" s="5">
        <v>1000</v>
      </c>
    </row>
    <row r="18" spans="1:3" x14ac:dyDescent="0.45">
      <c r="A18" s="27" t="s">
        <v>139</v>
      </c>
      <c r="B18" s="27"/>
      <c r="C18" s="27"/>
    </row>
    <row r="19" spans="1:3" x14ac:dyDescent="0.45">
      <c r="A19" s="17" t="s">
        <v>140</v>
      </c>
      <c r="C19" s="5" t="s">
        <v>141</v>
      </c>
    </row>
    <row r="20" spans="1:3" x14ac:dyDescent="0.45">
      <c r="A20" s="17" t="s">
        <v>142</v>
      </c>
      <c r="C20" s="5" t="s">
        <v>143</v>
      </c>
    </row>
    <row r="21" spans="1:3" x14ac:dyDescent="0.45">
      <c r="A21" s="17" t="s">
        <v>144</v>
      </c>
      <c r="C21" s="5" t="s">
        <v>145</v>
      </c>
    </row>
    <row r="22" spans="1:3" x14ac:dyDescent="0.45">
      <c r="A22" s="17" t="s">
        <v>146</v>
      </c>
      <c r="C22" s="5" t="s">
        <v>147</v>
      </c>
    </row>
    <row r="23" spans="1:3" x14ac:dyDescent="0.45">
      <c r="A23" s="17" t="s">
        <v>148</v>
      </c>
      <c r="C23" s="5" t="s">
        <v>149</v>
      </c>
    </row>
    <row r="24" spans="1:3" x14ac:dyDescent="0.45">
      <c r="A24" s="17" t="s">
        <v>150</v>
      </c>
      <c r="C24" s="5" t="s">
        <v>151</v>
      </c>
    </row>
    <row r="25" spans="1:3" x14ac:dyDescent="0.45">
      <c r="A25" s="17" t="s">
        <v>152</v>
      </c>
      <c r="C25" s="5"/>
    </row>
    <row r="26" spans="1:3" x14ac:dyDescent="0.45">
      <c r="A26" s="17" t="s">
        <v>153</v>
      </c>
      <c r="C26" s="5"/>
    </row>
    <row r="27" spans="1:3" x14ac:dyDescent="0.45">
      <c r="A27" s="17" t="s">
        <v>154</v>
      </c>
      <c r="C27" s="5"/>
    </row>
    <row r="28" spans="1:3" x14ac:dyDescent="0.45">
      <c r="A28" s="17" t="s">
        <v>155</v>
      </c>
      <c r="C28" s="5"/>
    </row>
    <row r="29" spans="1:3" x14ac:dyDescent="0.45">
      <c r="A29" s="17" t="s">
        <v>156</v>
      </c>
      <c r="C29" s="5"/>
    </row>
    <row r="30" spans="1:3" x14ac:dyDescent="0.45">
      <c r="A30" s="17" t="s">
        <v>157</v>
      </c>
      <c r="C30" s="5"/>
    </row>
    <row r="31" spans="1:3" x14ac:dyDescent="0.45">
      <c r="A31" s="17" t="s">
        <v>158</v>
      </c>
      <c r="C31" s="5"/>
    </row>
    <row r="32" spans="1:3" x14ac:dyDescent="0.45">
      <c r="A32" s="17" t="s">
        <v>159</v>
      </c>
      <c r="C32" s="5"/>
    </row>
    <row r="33" spans="1:3" x14ac:dyDescent="0.45">
      <c r="A33" s="17" t="s">
        <v>160</v>
      </c>
      <c r="C33" s="5"/>
    </row>
    <row r="34" spans="1:3" x14ac:dyDescent="0.45">
      <c r="A34" s="17" t="s">
        <v>161</v>
      </c>
      <c r="C34" s="5"/>
    </row>
    <row r="35" spans="1:3" x14ac:dyDescent="0.45">
      <c r="A35" s="17" t="s">
        <v>162</v>
      </c>
      <c r="C35" s="5"/>
    </row>
    <row r="36" spans="1:3" x14ac:dyDescent="0.45">
      <c r="A36" s="17" t="s">
        <v>163</v>
      </c>
      <c r="C36" s="5"/>
    </row>
    <row r="37" spans="1:3" x14ac:dyDescent="0.45">
      <c r="A37" s="17" t="s">
        <v>164</v>
      </c>
      <c r="C37" s="5"/>
    </row>
    <row r="38" spans="1:3" x14ac:dyDescent="0.45">
      <c r="A38" s="17" t="s">
        <v>165</v>
      </c>
      <c r="C38" s="5"/>
    </row>
    <row r="39" spans="1:3" x14ac:dyDescent="0.45">
      <c r="A39" s="27" t="s">
        <v>166</v>
      </c>
      <c r="B39" s="27"/>
      <c r="C39" s="27"/>
    </row>
    <row r="40" spans="1:3" x14ac:dyDescent="0.45">
      <c r="A40" s="17" t="s">
        <v>167</v>
      </c>
      <c r="C40" s="5" t="s">
        <v>168</v>
      </c>
    </row>
    <row r="41" spans="1:3" x14ac:dyDescent="0.45">
      <c r="A41" s="17" t="s">
        <v>169</v>
      </c>
      <c r="C41" s="5" t="s">
        <v>168</v>
      </c>
    </row>
    <row r="42" spans="1:3" x14ac:dyDescent="0.45">
      <c r="A42" s="17" t="s">
        <v>170</v>
      </c>
      <c r="C42" s="5" t="s">
        <v>168</v>
      </c>
    </row>
    <row r="43" spans="1:3" x14ac:dyDescent="0.45">
      <c r="A43" s="17" t="s">
        <v>171</v>
      </c>
      <c r="C43" s="5" t="s">
        <v>168</v>
      </c>
    </row>
    <row r="44" spans="1:3" x14ac:dyDescent="0.45">
      <c r="A44" s="17" t="s">
        <v>172</v>
      </c>
      <c r="C44" s="5" t="s">
        <v>168</v>
      </c>
    </row>
    <row r="45" spans="1:3" x14ac:dyDescent="0.45">
      <c r="A45" s="17" t="s">
        <v>173</v>
      </c>
      <c r="C45" s="5" t="s">
        <v>168</v>
      </c>
    </row>
    <row r="46" spans="1:3" x14ac:dyDescent="0.45">
      <c r="A46" s="17" t="s">
        <v>174</v>
      </c>
      <c r="C46" s="5" t="s">
        <v>168</v>
      </c>
    </row>
    <row r="47" spans="1:3" x14ac:dyDescent="0.45">
      <c r="A47" s="17" t="s">
        <v>175</v>
      </c>
      <c r="C47" s="5"/>
    </row>
    <row r="48" spans="1:3" x14ac:dyDescent="0.45">
      <c r="A48" s="17" t="s">
        <v>176</v>
      </c>
      <c r="C48" s="5"/>
    </row>
    <row r="49" spans="1:3" x14ac:dyDescent="0.45">
      <c r="A49" s="17" t="s">
        <v>177</v>
      </c>
      <c r="C49" s="5"/>
    </row>
    <row r="50" spans="1:3" x14ac:dyDescent="0.45">
      <c r="A50" s="17" t="s">
        <v>178</v>
      </c>
      <c r="C50" s="5"/>
    </row>
    <row r="51" spans="1:3" x14ac:dyDescent="0.45">
      <c r="A51" s="17" t="s">
        <v>179</v>
      </c>
      <c r="C51" s="5"/>
    </row>
    <row r="52" spans="1:3" x14ac:dyDescent="0.45">
      <c r="A52" s="27" t="s">
        <v>180</v>
      </c>
      <c r="B52" s="27"/>
      <c r="C52" s="27"/>
    </row>
    <row r="53" spans="1:3" x14ac:dyDescent="0.45">
      <c r="A53" s="17" t="s">
        <v>181</v>
      </c>
      <c r="B53" s="12">
        <f>p_hvacDwVAm2</f>
        <v>0</v>
      </c>
      <c r="C53" s="5">
        <v>80</v>
      </c>
    </row>
    <row r="54" spans="1:3" x14ac:dyDescent="0.45">
      <c r="A54" s="17" t="s">
        <v>182</v>
      </c>
      <c r="B54" s="12">
        <f>p_manejPct</f>
        <v>0</v>
      </c>
      <c r="C54" s="5">
        <v>10</v>
      </c>
    </row>
    <row r="55" spans="1:3" x14ac:dyDescent="0.45">
      <c r="A55" s="17" t="s">
        <v>183</v>
      </c>
      <c r="C55" s="5"/>
    </row>
    <row r="56" spans="1:3" x14ac:dyDescent="0.45">
      <c r="A56" s="27" t="s">
        <v>184</v>
      </c>
      <c r="B56" s="27"/>
      <c r="C56" s="27"/>
    </row>
    <row r="57" spans="1:3" x14ac:dyDescent="0.45">
      <c r="A57" s="17" t="s">
        <v>185</v>
      </c>
      <c r="B57" s="12">
        <f>p_cocinaVA</f>
        <v>8000</v>
      </c>
      <c r="C57" s="5"/>
    </row>
    <row r="58" spans="1:3" x14ac:dyDescent="0.45">
      <c r="A58" s="17" t="s">
        <v>186</v>
      </c>
      <c r="B58" s="12">
        <f>p_calentVA</f>
        <v>6000</v>
      </c>
      <c r="C58" s="5"/>
    </row>
    <row r="59" spans="1:3" x14ac:dyDescent="0.45">
      <c r="A59" s="17" t="s">
        <v>187</v>
      </c>
      <c r="C59" s="5"/>
    </row>
    <row r="60" spans="1:3" x14ac:dyDescent="0.45">
      <c r="A60" s="17" t="s">
        <v>188</v>
      </c>
      <c r="C60" s="5"/>
    </row>
    <row r="61" spans="1:3" x14ac:dyDescent="0.45">
      <c r="A61" s="27" t="s">
        <v>189</v>
      </c>
      <c r="B61" s="27"/>
      <c r="C61" s="27"/>
    </row>
    <row r="62" spans="1:3" x14ac:dyDescent="0.45">
      <c r="A62" s="17" t="s">
        <v>190</v>
      </c>
      <c r="B62" s="12">
        <f>p_divFD</f>
        <v>1</v>
      </c>
      <c r="C62" s="5">
        <v>0.8</v>
      </c>
    </row>
    <row r="63" spans="1:3" x14ac:dyDescent="0.45">
      <c r="A63" s="27" t="s">
        <v>191</v>
      </c>
      <c r="B63" s="27"/>
      <c r="C63" s="27"/>
    </row>
    <row r="64" spans="1:3" x14ac:dyDescent="0.45">
      <c r="A64" s="17" t="s">
        <v>192</v>
      </c>
      <c r="C64" s="9">
        <f>C7*IF(C10="",p_lightVA,C10)/1000</f>
        <v>12.58</v>
      </c>
    </row>
    <row r="65" spans="1:3" x14ac:dyDescent="0.45">
      <c r="A65" s="17" t="s">
        <v>193</v>
      </c>
      <c r="C65" s="9">
        <f>C7*IF(C11="",p_recDwVAm2,C11)/1000</f>
        <v>18.87</v>
      </c>
    </row>
    <row r="66" spans="1:3" x14ac:dyDescent="0.45">
      <c r="A66" s="17" t="s">
        <v>194</v>
      </c>
      <c r="C66" s="9">
        <f>C7*IF(C12="",p_extDwVAm2,C12)/1000</f>
        <v>3.145</v>
      </c>
    </row>
    <row r="67" spans="1:3" x14ac:dyDescent="0.45">
      <c r="A67" s="17" t="s">
        <v>195</v>
      </c>
      <c r="C67" s="9">
        <f>IF(C13="",p_sacN*p_sacVA,C13)/1000</f>
        <v>3</v>
      </c>
    </row>
    <row r="68" spans="1:3" x14ac:dyDescent="0.45">
      <c r="A68" s="17" t="s">
        <v>196</v>
      </c>
      <c r="C68" s="9">
        <f>IF(C14="",p_lavVA,C14)/1000</f>
        <v>1.5</v>
      </c>
    </row>
    <row r="69" spans="1:3" x14ac:dyDescent="0.45">
      <c r="A69" s="17" t="s">
        <v>197</v>
      </c>
      <c r="C69" s="9">
        <f>IF(C15="",p_gfciVA,C15)/1000</f>
        <v>1</v>
      </c>
    </row>
    <row r="70" spans="1:3" x14ac:dyDescent="0.45">
      <c r="A70" s="17" t="s">
        <v>198</v>
      </c>
      <c r="C70" s="9">
        <f>IF(C16="",p_telecomVA,C16)/1000</f>
        <v>1.5</v>
      </c>
    </row>
    <row r="71" spans="1:3" x14ac:dyDescent="0.45">
      <c r="A71" s="17" t="s">
        <v>199</v>
      </c>
      <c r="C71" s="9">
        <f>IF(C17="",p_detectVA,C17)/1000</f>
        <v>1</v>
      </c>
    </row>
    <row r="72" spans="1:3" x14ac:dyDescent="0.45">
      <c r="A72" s="17" t="s">
        <v>200</v>
      </c>
      <c r="C72" s="9">
        <f>IF((C97+C98&gt;0),SUMIF(C120:C139,"cocina",C100:C119)+SUMIF(C152:C163,"cocina",C140:C151),IF(C57="",p_cocinaVA,C57)/1000)</f>
        <v>4</v>
      </c>
    </row>
    <row r="73" spans="1:3" x14ac:dyDescent="0.45">
      <c r="A73" s="17" t="s">
        <v>201</v>
      </c>
      <c r="C73" s="9">
        <f>IF((C97+C98&gt;0),SUMIF(C120:C139,"calentador",C100:C119)+SUMIF(C152:C163,"calentador",C140:C151),IF(C58="",p_calentVA,C58)/1000)</f>
        <v>75.599999999999994</v>
      </c>
    </row>
    <row r="74" spans="1:3" x14ac:dyDescent="0.45">
      <c r="A74" s="17" t="s">
        <v>202</v>
      </c>
      <c r="C74" s="9">
        <f>IF((C97+C98&gt;0),SUMIF(C120:C139,"fijo",C100:C119)+SUMIF(C152:C163,"fijo",C140:C151),N(C59)/1000)</f>
        <v>8.68</v>
      </c>
    </row>
    <row r="75" spans="1:3" x14ac:dyDescent="0.45">
      <c r="A75" s="17" t="s">
        <v>203</v>
      </c>
      <c r="C75" s="9">
        <f>IF((C97+C98&gt;0),SUMIF(C120:C139,"esp",C100:C119)+SUMIF(C152:C163,"esp",C140:C151),N(C60)/1000)</f>
        <v>0</v>
      </c>
    </row>
    <row r="76" spans="1:3" x14ac:dyDescent="0.45">
      <c r="A76" s="17" t="s">
        <v>204</v>
      </c>
      <c r="C76" s="9">
        <f>IF((C97+C98&gt;0),SUM(C140:C151)*IF(C98&gt;=p_appl53Min,p_applFD,1),0)</f>
        <v>56.699999999999996</v>
      </c>
    </row>
    <row r="77" spans="1:3" x14ac:dyDescent="0.45">
      <c r="A77" s="4" t="s">
        <v>205</v>
      </c>
      <c r="C77" s="28">
        <f>SUM(C64:C71)+IF((C97+C98&gt;0),SUM(C100:C119)+C76,SUM(C72:C75))</f>
        <v>111.97499999999999</v>
      </c>
    </row>
    <row r="78" spans="1:3" x14ac:dyDescent="0.45">
      <c r="A78" s="4" t="s">
        <v>206</v>
      </c>
      <c r="C78" s="28">
        <f>(MIN(C77,p_tier1/1000)+MAX(0,C77-p_tier1/1000)*p_restFD)*p_genFD</f>
        <v>50.79</v>
      </c>
    </row>
    <row r="79" spans="1:3" x14ac:dyDescent="0.45">
      <c r="A79" s="17" t="s">
        <v>207</v>
      </c>
      <c r="C79" s="9">
        <f>IF(IF(C53="",p_hvacDwVAm2,C53)&gt;0,C80*IF(C54="",p_manejPct,C54)/100,0)</f>
        <v>5.032</v>
      </c>
    </row>
    <row r="80" spans="1:3" x14ac:dyDescent="0.45">
      <c r="A80" s="17" t="s">
        <v>208</v>
      </c>
      <c r="C80" s="9">
        <f>IF(IF(C53="",p_hvacDwVAm2,C53)&gt;0,C7*IF(C53="",p_hvacDwVAm2,C53),N(C55))/1000</f>
        <v>50.32</v>
      </c>
    </row>
    <row r="81" spans="1:3" x14ac:dyDescent="0.45">
      <c r="A81" s="17" t="s">
        <v>209</v>
      </c>
      <c r="C81" s="9">
        <f>C78+(C79+C80)*p_hvacFD</f>
        <v>106.142</v>
      </c>
    </row>
    <row r="82" spans="1:3" x14ac:dyDescent="0.45">
      <c r="A82" s="17" t="s">
        <v>210</v>
      </c>
      <c r="C82" s="9">
        <f>C77+C79+C80</f>
        <v>167.327</v>
      </c>
    </row>
    <row r="83" spans="1:3" x14ac:dyDescent="0.45">
      <c r="A83" s="17" t="s">
        <v>118</v>
      </c>
      <c r="C83" s="10">
        <f>IF(C82=0,"",C81/C82)</f>
        <v>0.63433874987300309</v>
      </c>
    </row>
    <row r="84" spans="1:3" x14ac:dyDescent="0.45">
      <c r="A84" s="17" t="s">
        <v>211</v>
      </c>
      <c r="C84" s="10">
        <f>IF(C62="",p_divFD,C62)</f>
        <v>0.8</v>
      </c>
    </row>
    <row r="85" spans="1:3" x14ac:dyDescent="0.45">
      <c r="A85" s="4" t="s">
        <v>212</v>
      </c>
      <c r="C85" s="28">
        <f>C81*C84</f>
        <v>84.913600000000002</v>
      </c>
    </row>
    <row r="86" spans="1:3" x14ac:dyDescent="0.45">
      <c r="A86" s="17" t="s">
        <v>119</v>
      </c>
      <c r="B86" s="12">
        <f>p_vUnit</f>
        <v>240</v>
      </c>
      <c r="C86" s="25">
        <f>C85*1000/(p_vUnit*IF(p_fases=3,SQRT(3),1))</f>
        <v>353.80666666666667</v>
      </c>
    </row>
    <row r="87" spans="1:3" x14ac:dyDescent="0.45">
      <c r="A87" s="17" t="s">
        <v>213</v>
      </c>
      <c r="B87" s="12">
        <f>p_protFactor</f>
        <v>1.25</v>
      </c>
      <c r="C87" s="25">
        <f>C86*p_protFactor</f>
        <v>442.25833333333333</v>
      </c>
    </row>
    <row r="88" spans="1:3" x14ac:dyDescent="0.45">
      <c r="A88" s="4" t="s">
        <v>120</v>
      </c>
      <c r="C88" s="29">
        <f>IFERROR(MAX(p_minBreaker,INDEX(brk_list,SUMPRODUCT(--(brk_list&lt;C87-0.000000001))+1)),"excede")</f>
        <v>450</v>
      </c>
    </row>
    <row r="89" spans="1:3" x14ac:dyDescent="0.45">
      <c r="A89" s="17" t="s">
        <v>214</v>
      </c>
      <c r="C89" s="30" t="str">
        <f>IFERROR(INDEX(cond_cu,MATCH(C88,cond_ocpd,1)),"—")</f>
        <v>600</v>
      </c>
    </row>
    <row r="90" spans="1:3" x14ac:dyDescent="0.45">
      <c r="A90" s="17" t="s">
        <v>215</v>
      </c>
      <c r="C90" s="30" t="str">
        <f>IFERROR(INDEX(cond_al,MATCH(C88,cond_ocpd,1)),"—")</f>
        <v>900</v>
      </c>
    </row>
    <row r="91" spans="1:3" hidden="1" outlineLevel="1" x14ac:dyDescent="0.45">
      <c r="A91" s="27" t="s">
        <v>216</v>
      </c>
      <c r="B91" s="27"/>
      <c r="C91" s="27"/>
    </row>
    <row r="92" spans="1:3" hidden="1" outlineLevel="1" x14ac:dyDescent="0.45">
      <c r="A92" s="17" t="s">
        <v>217</v>
      </c>
      <c r="C92" s="12">
        <f>IF(OR(C4="",C8="No"),0,IF(C6="",1,C6))</f>
        <v>1</v>
      </c>
    </row>
    <row r="93" spans="1:3" hidden="1" outlineLevel="1" x14ac:dyDescent="0.45">
      <c r="A93" s="17" t="s">
        <v>218</v>
      </c>
      <c r="C93" s="9">
        <f>SUM(C64:C71)</f>
        <v>42.595000000000006</v>
      </c>
    </row>
    <row r="94" spans="1:3" hidden="1" outlineLevel="1" x14ac:dyDescent="0.45">
      <c r="A94" s="17" t="s">
        <v>219</v>
      </c>
      <c r="C94" s="9">
        <f>C73+C74+C75</f>
        <v>84.28</v>
      </c>
    </row>
    <row r="95" spans="1:3" hidden="1" outlineLevel="1" x14ac:dyDescent="0.45">
      <c r="A95" s="17" t="s">
        <v>220</v>
      </c>
      <c r="C95" s="9">
        <f>C72</f>
        <v>4</v>
      </c>
    </row>
    <row r="96" spans="1:3" hidden="1" outlineLevel="1" x14ac:dyDescent="0.45">
      <c r="A96" s="17" t="s">
        <v>221</v>
      </c>
      <c r="C96" s="9">
        <f>C79+C80</f>
        <v>55.352000000000004</v>
      </c>
    </row>
    <row r="97" spans="1:3" hidden="1" outlineLevel="1" x14ac:dyDescent="0.45">
      <c r="A97" s="17" t="s">
        <v>222</v>
      </c>
      <c r="C97" s="12">
        <f>COUNTA(C19:C38)</f>
        <v>6</v>
      </c>
    </row>
    <row r="98" spans="1:3" hidden="1" outlineLevel="1" x14ac:dyDescent="0.45">
      <c r="A98" s="17" t="s">
        <v>223</v>
      </c>
      <c r="C98" s="12">
        <f>COUNTA(C40:C51)</f>
        <v>7</v>
      </c>
    </row>
    <row r="99" spans="1:3" hidden="1" outlineLevel="1" x14ac:dyDescent="0.45">
      <c r="A99" s="17" t="s">
        <v>224</v>
      </c>
      <c r="C99" s="9">
        <f>C93+C94+C95+C96</f>
        <v>186.227</v>
      </c>
    </row>
    <row r="100" spans="1:3" hidden="1" outlineLevel="1" x14ac:dyDescent="0.45">
      <c r="A100" s="17" t="s">
        <v>225</v>
      </c>
      <c r="C100" s="9">
        <f t="shared" ref="C100:C119" si="0">IF(C19="",0,IFERROR(VLOOKUP(C19,tbl_cat,2,FALSE),0))</f>
        <v>1.2</v>
      </c>
    </row>
    <row r="101" spans="1:3" hidden="1" outlineLevel="1" x14ac:dyDescent="0.45">
      <c r="A101" s="17" t="s">
        <v>226</v>
      </c>
      <c r="C101" s="9">
        <f t="shared" si="0"/>
        <v>0.18</v>
      </c>
    </row>
    <row r="102" spans="1:3" hidden="1" outlineLevel="1" x14ac:dyDescent="0.45">
      <c r="A102" s="17" t="s">
        <v>227</v>
      </c>
      <c r="C102" s="9">
        <f t="shared" si="0"/>
        <v>1.2</v>
      </c>
    </row>
    <row r="103" spans="1:3" hidden="1" outlineLevel="1" x14ac:dyDescent="0.45">
      <c r="A103" s="17" t="s">
        <v>228</v>
      </c>
      <c r="C103" s="9">
        <f t="shared" si="0"/>
        <v>1.1000000000000001</v>
      </c>
    </row>
    <row r="104" spans="1:3" hidden="1" outlineLevel="1" x14ac:dyDescent="0.45">
      <c r="A104" s="17" t="s">
        <v>229</v>
      </c>
      <c r="C104" s="9">
        <f t="shared" si="0"/>
        <v>4</v>
      </c>
    </row>
    <row r="105" spans="1:3" hidden="1" outlineLevel="1" x14ac:dyDescent="0.45">
      <c r="A105" s="17" t="s">
        <v>230</v>
      </c>
      <c r="C105" s="9">
        <f t="shared" si="0"/>
        <v>5</v>
      </c>
    </row>
    <row r="106" spans="1:3" hidden="1" outlineLevel="1" x14ac:dyDescent="0.45">
      <c r="A106" s="17" t="s">
        <v>231</v>
      </c>
      <c r="C106" s="9">
        <f t="shared" si="0"/>
        <v>0</v>
      </c>
    </row>
    <row r="107" spans="1:3" hidden="1" outlineLevel="1" x14ac:dyDescent="0.45">
      <c r="A107" s="17" t="s">
        <v>232</v>
      </c>
      <c r="C107" s="9">
        <f t="shared" si="0"/>
        <v>0</v>
      </c>
    </row>
    <row r="108" spans="1:3" hidden="1" outlineLevel="1" x14ac:dyDescent="0.45">
      <c r="A108" s="17" t="s">
        <v>233</v>
      </c>
      <c r="C108" s="9">
        <f t="shared" si="0"/>
        <v>0</v>
      </c>
    </row>
    <row r="109" spans="1:3" hidden="1" outlineLevel="1" x14ac:dyDescent="0.45">
      <c r="A109" s="17" t="s">
        <v>234</v>
      </c>
      <c r="C109" s="9">
        <f t="shared" si="0"/>
        <v>0</v>
      </c>
    </row>
    <row r="110" spans="1:3" hidden="1" outlineLevel="1" x14ac:dyDescent="0.45">
      <c r="A110" s="17" t="s">
        <v>235</v>
      </c>
      <c r="C110" s="9">
        <f t="shared" si="0"/>
        <v>0</v>
      </c>
    </row>
    <row r="111" spans="1:3" hidden="1" outlineLevel="1" x14ac:dyDescent="0.45">
      <c r="A111" s="17" t="s">
        <v>236</v>
      </c>
      <c r="C111" s="9">
        <f t="shared" si="0"/>
        <v>0</v>
      </c>
    </row>
    <row r="112" spans="1:3" hidden="1" outlineLevel="1" x14ac:dyDescent="0.45">
      <c r="A112" s="17" t="s">
        <v>237</v>
      </c>
      <c r="C112" s="9">
        <f t="shared" si="0"/>
        <v>0</v>
      </c>
    </row>
    <row r="113" spans="1:3" hidden="1" outlineLevel="1" x14ac:dyDescent="0.45">
      <c r="A113" s="17" t="s">
        <v>238</v>
      </c>
      <c r="C113" s="9">
        <f t="shared" si="0"/>
        <v>0</v>
      </c>
    </row>
    <row r="114" spans="1:3" hidden="1" outlineLevel="1" x14ac:dyDescent="0.45">
      <c r="A114" s="17" t="s">
        <v>239</v>
      </c>
      <c r="C114" s="9">
        <f t="shared" si="0"/>
        <v>0</v>
      </c>
    </row>
    <row r="115" spans="1:3" hidden="1" outlineLevel="1" x14ac:dyDescent="0.45">
      <c r="A115" s="17" t="s">
        <v>240</v>
      </c>
      <c r="C115" s="9">
        <f t="shared" si="0"/>
        <v>0</v>
      </c>
    </row>
    <row r="116" spans="1:3" hidden="1" outlineLevel="1" x14ac:dyDescent="0.45">
      <c r="A116" s="17" t="s">
        <v>241</v>
      </c>
      <c r="C116" s="9">
        <f t="shared" si="0"/>
        <v>0</v>
      </c>
    </row>
    <row r="117" spans="1:3" hidden="1" outlineLevel="1" x14ac:dyDescent="0.45">
      <c r="A117" s="17" t="s">
        <v>242</v>
      </c>
      <c r="C117" s="9">
        <f t="shared" si="0"/>
        <v>0</v>
      </c>
    </row>
    <row r="118" spans="1:3" hidden="1" outlineLevel="1" x14ac:dyDescent="0.45">
      <c r="A118" s="17" t="s">
        <v>243</v>
      </c>
      <c r="C118" s="9">
        <f t="shared" si="0"/>
        <v>0</v>
      </c>
    </row>
    <row r="119" spans="1:3" hidden="1" outlineLevel="1" x14ac:dyDescent="0.45">
      <c r="A119" s="17" t="s">
        <v>244</v>
      </c>
      <c r="C119" s="9">
        <f t="shared" si="0"/>
        <v>0</v>
      </c>
    </row>
    <row r="120" spans="1:3" hidden="1" outlineLevel="1" x14ac:dyDescent="0.45">
      <c r="A120" s="17" t="s">
        <v>245</v>
      </c>
      <c r="C120" s="9" t="str">
        <f t="shared" ref="C120:C139" si="1">IF(C19="","",IFERROR(VLOOKUP(C19,tbl_cat,3,FALSE),"fijo"))</f>
        <v>fijo</v>
      </c>
    </row>
    <row r="121" spans="1:3" hidden="1" outlineLevel="1" x14ac:dyDescent="0.45">
      <c r="A121" s="17" t="s">
        <v>246</v>
      </c>
      <c r="C121" s="9" t="str">
        <f t="shared" si="1"/>
        <v>fijo</v>
      </c>
    </row>
    <row r="122" spans="1:3" hidden="1" outlineLevel="1" x14ac:dyDescent="0.45">
      <c r="A122" s="17" t="s">
        <v>247</v>
      </c>
      <c r="C122" s="9" t="str">
        <f t="shared" si="1"/>
        <v>fijo</v>
      </c>
    </row>
    <row r="123" spans="1:3" hidden="1" outlineLevel="1" x14ac:dyDescent="0.45">
      <c r="A123" s="17" t="s">
        <v>248</v>
      </c>
      <c r="C123" s="9" t="str">
        <f t="shared" si="1"/>
        <v>fijo</v>
      </c>
    </row>
    <row r="124" spans="1:3" hidden="1" outlineLevel="1" x14ac:dyDescent="0.45">
      <c r="A124" s="17" t="s">
        <v>249</v>
      </c>
      <c r="C124" s="9" t="str">
        <f t="shared" si="1"/>
        <v>cocina</v>
      </c>
    </row>
    <row r="125" spans="1:3" hidden="1" outlineLevel="1" x14ac:dyDescent="0.45">
      <c r="A125" s="17" t="s">
        <v>250</v>
      </c>
      <c r="C125" s="9" t="str">
        <f t="shared" si="1"/>
        <v>fijo</v>
      </c>
    </row>
    <row r="126" spans="1:3" hidden="1" outlineLevel="1" x14ac:dyDescent="0.45">
      <c r="A126" s="17" t="s">
        <v>251</v>
      </c>
      <c r="C126" s="9" t="str">
        <f t="shared" si="1"/>
        <v/>
      </c>
    </row>
    <row r="127" spans="1:3" hidden="1" outlineLevel="1" x14ac:dyDescent="0.45">
      <c r="A127" s="17" t="s">
        <v>252</v>
      </c>
      <c r="C127" s="9" t="str">
        <f t="shared" si="1"/>
        <v/>
      </c>
    </row>
    <row r="128" spans="1:3" hidden="1" outlineLevel="1" x14ac:dyDescent="0.45">
      <c r="A128" s="17" t="s">
        <v>253</v>
      </c>
      <c r="C128" s="9" t="str">
        <f t="shared" si="1"/>
        <v/>
      </c>
    </row>
    <row r="129" spans="1:3" hidden="1" outlineLevel="1" x14ac:dyDescent="0.45">
      <c r="A129" s="17" t="s">
        <v>254</v>
      </c>
      <c r="C129" s="9" t="str">
        <f t="shared" si="1"/>
        <v/>
      </c>
    </row>
    <row r="130" spans="1:3" hidden="1" outlineLevel="1" x14ac:dyDescent="0.45">
      <c r="A130" s="17" t="s">
        <v>255</v>
      </c>
      <c r="C130" s="9" t="str">
        <f t="shared" si="1"/>
        <v/>
      </c>
    </row>
    <row r="131" spans="1:3" hidden="1" outlineLevel="1" x14ac:dyDescent="0.45">
      <c r="A131" s="17" t="s">
        <v>256</v>
      </c>
      <c r="C131" s="9" t="str">
        <f t="shared" si="1"/>
        <v/>
      </c>
    </row>
    <row r="132" spans="1:3" hidden="1" outlineLevel="1" x14ac:dyDescent="0.45">
      <c r="A132" s="17" t="s">
        <v>257</v>
      </c>
      <c r="C132" s="9" t="str">
        <f t="shared" si="1"/>
        <v/>
      </c>
    </row>
    <row r="133" spans="1:3" hidden="1" outlineLevel="1" x14ac:dyDescent="0.45">
      <c r="A133" s="17" t="s">
        <v>258</v>
      </c>
      <c r="C133" s="9" t="str">
        <f t="shared" si="1"/>
        <v/>
      </c>
    </row>
    <row r="134" spans="1:3" hidden="1" outlineLevel="1" x14ac:dyDescent="0.45">
      <c r="A134" s="17" t="s">
        <v>259</v>
      </c>
      <c r="C134" s="9" t="str">
        <f t="shared" si="1"/>
        <v/>
      </c>
    </row>
    <row r="135" spans="1:3" hidden="1" outlineLevel="1" x14ac:dyDescent="0.45">
      <c r="A135" s="17" t="s">
        <v>260</v>
      </c>
      <c r="C135" s="9" t="str">
        <f t="shared" si="1"/>
        <v/>
      </c>
    </row>
    <row r="136" spans="1:3" hidden="1" outlineLevel="1" x14ac:dyDescent="0.45">
      <c r="A136" s="17" t="s">
        <v>261</v>
      </c>
      <c r="C136" s="9" t="str">
        <f t="shared" si="1"/>
        <v/>
      </c>
    </row>
    <row r="137" spans="1:3" hidden="1" outlineLevel="1" x14ac:dyDescent="0.45">
      <c r="A137" s="17" t="s">
        <v>262</v>
      </c>
      <c r="C137" s="9" t="str">
        <f t="shared" si="1"/>
        <v/>
      </c>
    </row>
    <row r="138" spans="1:3" hidden="1" outlineLevel="1" x14ac:dyDescent="0.45">
      <c r="A138" s="17" t="s">
        <v>263</v>
      </c>
      <c r="C138" s="9" t="str">
        <f t="shared" si="1"/>
        <v/>
      </c>
    </row>
    <row r="139" spans="1:3" hidden="1" outlineLevel="1" x14ac:dyDescent="0.45">
      <c r="A139" s="17" t="s">
        <v>264</v>
      </c>
      <c r="C139" s="9" t="str">
        <f t="shared" si="1"/>
        <v/>
      </c>
    </row>
    <row r="140" spans="1:3" hidden="1" outlineLevel="1" x14ac:dyDescent="0.45">
      <c r="A140" s="17" t="s">
        <v>265</v>
      </c>
      <c r="C140" s="9">
        <f t="shared" ref="C140:C151" si="2">IF(C40="",0,IFERROR(VLOOKUP(C40,tbl_cat,2,FALSE),0))</f>
        <v>10.8</v>
      </c>
    </row>
    <row r="141" spans="1:3" hidden="1" outlineLevel="1" x14ac:dyDescent="0.45">
      <c r="A141" s="17" t="s">
        <v>266</v>
      </c>
      <c r="C141" s="9">
        <f t="shared" si="2"/>
        <v>10.8</v>
      </c>
    </row>
    <row r="142" spans="1:3" hidden="1" outlineLevel="1" x14ac:dyDescent="0.45">
      <c r="A142" s="17" t="s">
        <v>267</v>
      </c>
      <c r="C142" s="9">
        <f t="shared" si="2"/>
        <v>10.8</v>
      </c>
    </row>
    <row r="143" spans="1:3" hidden="1" outlineLevel="1" x14ac:dyDescent="0.45">
      <c r="A143" s="17" t="s">
        <v>268</v>
      </c>
      <c r="C143" s="9">
        <f t="shared" si="2"/>
        <v>10.8</v>
      </c>
    </row>
    <row r="144" spans="1:3" hidden="1" outlineLevel="1" x14ac:dyDescent="0.45">
      <c r="A144" s="17" t="s">
        <v>269</v>
      </c>
      <c r="C144" s="9">
        <f t="shared" si="2"/>
        <v>10.8</v>
      </c>
    </row>
    <row r="145" spans="1:3" hidden="1" outlineLevel="1" x14ac:dyDescent="0.45">
      <c r="A145" s="17" t="s">
        <v>270</v>
      </c>
      <c r="C145" s="9">
        <f t="shared" si="2"/>
        <v>10.8</v>
      </c>
    </row>
    <row r="146" spans="1:3" hidden="1" outlineLevel="1" x14ac:dyDescent="0.45">
      <c r="A146" s="17" t="s">
        <v>271</v>
      </c>
      <c r="C146" s="9">
        <f t="shared" si="2"/>
        <v>10.8</v>
      </c>
    </row>
    <row r="147" spans="1:3" hidden="1" outlineLevel="1" x14ac:dyDescent="0.45">
      <c r="A147" s="17" t="s">
        <v>272</v>
      </c>
      <c r="C147" s="9">
        <f t="shared" si="2"/>
        <v>0</v>
      </c>
    </row>
    <row r="148" spans="1:3" hidden="1" outlineLevel="1" x14ac:dyDescent="0.45">
      <c r="A148" s="17" t="s">
        <v>273</v>
      </c>
      <c r="C148" s="9">
        <f t="shared" si="2"/>
        <v>0</v>
      </c>
    </row>
    <row r="149" spans="1:3" hidden="1" outlineLevel="1" x14ac:dyDescent="0.45">
      <c r="A149" s="17" t="s">
        <v>274</v>
      </c>
      <c r="C149" s="9">
        <f t="shared" si="2"/>
        <v>0</v>
      </c>
    </row>
    <row r="150" spans="1:3" hidden="1" outlineLevel="1" x14ac:dyDescent="0.45">
      <c r="A150" s="17" t="s">
        <v>275</v>
      </c>
      <c r="C150" s="9">
        <f t="shared" si="2"/>
        <v>0</v>
      </c>
    </row>
    <row r="151" spans="1:3" hidden="1" outlineLevel="1" x14ac:dyDescent="0.45">
      <c r="A151" s="17" t="s">
        <v>276</v>
      </c>
      <c r="C151" s="9">
        <f t="shared" si="2"/>
        <v>0</v>
      </c>
    </row>
    <row r="152" spans="1:3" hidden="1" outlineLevel="1" x14ac:dyDescent="0.45">
      <c r="A152" s="17" t="s">
        <v>277</v>
      </c>
      <c r="C152" s="9" t="str">
        <f t="shared" ref="C152:C163" si="3">IF(C40="","",IFERROR(VLOOKUP(C40,tbl_cat,3,FALSE),"fijo"))</f>
        <v>calentador</v>
      </c>
    </row>
    <row r="153" spans="1:3" hidden="1" outlineLevel="1" x14ac:dyDescent="0.45">
      <c r="A153" s="17" t="s">
        <v>278</v>
      </c>
      <c r="C153" s="9" t="str">
        <f t="shared" si="3"/>
        <v>calentador</v>
      </c>
    </row>
    <row r="154" spans="1:3" hidden="1" outlineLevel="1" x14ac:dyDescent="0.45">
      <c r="A154" s="17" t="s">
        <v>279</v>
      </c>
      <c r="C154" s="9" t="str">
        <f t="shared" si="3"/>
        <v>calentador</v>
      </c>
    </row>
    <row r="155" spans="1:3" hidden="1" outlineLevel="1" x14ac:dyDescent="0.45">
      <c r="A155" s="17" t="s">
        <v>280</v>
      </c>
      <c r="C155" s="9" t="str">
        <f t="shared" si="3"/>
        <v>calentador</v>
      </c>
    </row>
    <row r="156" spans="1:3" hidden="1" outlineLevel="1" x14ac:dyDescent="0.45">
      <c r="A156" s="17" t="s">
        <v>281</v>
      </c>
      <c r="C156" s="9" t="str">
        <f t="shared" si="3"/>
        <v>calentador</v>
      </c>
    </row>
    <row r="157" spans="1:3" hidden="1" outlineLevel="1" x14ac:dyDescent="0.45">
      <c r="A157" s="17" t="s">
        <v>282</v>
      </c>
      <c r="C157" s="9" t="str">
        <f t="shared" si="3"/>
        <v>calentador</v>
      </c>
    </row>
    <row r="158" spans="1:3" hidden="1" outlineLevel="1" x14ac:dyDescent="0.45">
      <c r="A158" s="17" t="s">
        <v>283</v>
      </c>
      <c r="C158" s="9" t="str">
        <f t="shared" si="3"/>
        <v>calentador</v>
      </c>
    </row>
    <row r="159" spans="1:3" hidden="1" outlineLevel="1" x14ac:dyDescent="0.45">
      <c r="A159" s="17" t="s">
        <v>284</v>
      </c>
      <c r="C159" s="9" t="str">
        <f t="shared" si="3"/>
        <v/>
      </c>
    </row>
    <row r="160" spans="1:3" hidden="1" outlineLevel="1" x14ac:dyDescent="0.45">
      <c r="A160" s="17" t="s">
        <v>285</v>
      </c>
      <c r="C160" s="9" t="str">
        <f t="shared" si="3"/>
        <v/>
      </c>
    </row>
    <row r="161" spans="1:3" hidden="1" outlineLevel="1" x14ac:dyDescent="0.45">
      <c r="A161" s="17" t="s">
        <v>286</v>
      </c>
      <c r="C161" s="9" t="str">
        <f t="shared" si="3"/>
        <v/>
      </c>
    </row>
    <row r="162" spans="1:3" hidden="1" outlineLevel="1" x14ac:dyDescent="0.45">
      <c r="A162" s="17" t="s">
        <v>287</v>
      </c>
      <c r="C162" s="9" t="str">
        <f t="shared" si="3"/>
        <v/>
      </c>
    </row>
    <row r="163" spans="1:3" hidden="1" outlineLevel="1" x14ac:dyDescent="0.45">
      <c r="A163" s="17" t="s">
        <v>288</v>
      </c>
      <c r="C163" s="9" t="str">
        <f t="shared" si="3"/>
        <v/>
      </c>
    </row>
  </sheetData>
  <conditionalFormatting sqref="C64:AZ90">
    <cfRule type="expression" dxfId="0" priority="1">
      <formula>C$4=""</formula>
    </cfRule>
  </conditionalFormatting>
  <dataValidations count="3">
    <dataValidation type="list" allowBlank="1" showInputMessage="1" showErrorMessage="1" sqref="C3:AZ3" xr:uid="{00000000-0002-0000-0300-000000000000}">
      <formula1>list_sectores</formula1>
    </dataValidation>
    <dataValidation type="list" allowBlank="1" showInputMessage="1" showErrorMessage="1" sqref="C8:AZ8" xr:uid="{00000000-0002-0000-0300-000001000000}">
      <formula1>"Sí,No"</formula1>
    </dataValidation>
    <dataValidation type="list" allowBlank="1" showInputMessage="1" showErrorMessage="1" sqref="C19:AZ38 C40:AZ51" xr:uid="{00000000-0002-0000-0300-000002000000}">
      <formula1>cat_names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106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2" customWidth="1"/>
    <col min="2" max="2" width="16" customWidth="1"/>
    <col min="3" max="3" width="26" customWidth="1"/>
    <col min="4" max="4" width="11" customWidth="1"/>
    <col min="5" max="5" width="10" customWidth="1"/>
    <col min="6" max="6" width="40" customWidth="1"/>
    <col min="7" max="12" width="11" customWidth="1"/>
    <col min="13" max="13" width="8" customWidth="1"/>
    <col min="14" max="19" width="11" customWidth="1"/>
    <col min="20" max="20" width="12" customWidth="1"/>
    <col min="21" max="22" width="9" customWidth="1"/>
    <col min="23" max="23" width="11" customWidth="1"/>
  </cols>
  <sheetData>
    <row r="1" spans="1:23" ht="18" x14ac:dyDescent="0.55000000000000004">
      <c r="A1" s="3" t="s">
        <v>289</v>
      </c>
    </row>
    <row r="2" spans="1:23" x14ac:dyDescent="0.45">
      <c r="A2" s="16" t="s">
        <v>290</v>
      </c>
    </row>
    <row r="4" spans="1:23" x14ac:dyDescent="0.45">
      <c r="C4" s="14" t="s">
        <v>291</v>
      </c>
      <c r="D4" s="15">
        <f>SUMIFS(D7:D106,M7:M106,"&lt;&gt;No")</f>
        <v>505.22</v>
      </c>
      <c r="N4" s="31">
        <f t="shared" ref="N4:T4" si="0">SUMIFS(N7:N106,$M$7:$M$106,"&lt;&gt;No")</f>
        <v>2.5261000000000005</v>
      </c>
      <c r="O4" s="31">
        <f t="shared" si="0"/>
        <v>0</v>
      </c>
      <c r="P4" s="31">
        <f t="shared" si="0"/>
        <v>0.50522</v>
      </c>
      <c r="Q4" s="31">
        <f t="shared" si="0"/>
        <v>2.4040400000000002</v>
      </c>
      <c r="R4" s="31">
        <f t="shared" si="0"/>
        <v>0</v>
      </c>
      <c r="S4" s="31">
        <f t="shared" si="0"/>
        <v>0</v>
      </c>
      <c r="T4" s="31">
        <f t="shared" si="0"/>
        <v>5.4353600000000002</v>
      </c>
    </row>
    <row r="6" spans="1:23" ht="45" customHeight="1" x14ac:dyDescent="0.45">
      <c r="A6" s="7" t="s">
        <v>7</v>
      </c>
      <c r="B6" s="7" t="s">
        <v>292</v>
      </c>
      <c r="C6" s="7" t="s">
        <v>293</v>
      </c>
      <c r="D6" s="7" t="s">
        <v>117</v>
      </c>
      <c r="E6" s="7" t="s">
        <v>294</v>
      </c>
      <c r="F6" s="7" t="s">
        <v>295</v>
      </c>
      <c r="G6" s="7" t="s">
        <v>131</v>
      </c>
      <c r="H6" s="7" t="s">
        <v>296</v>
      </c>
      <c r="I6" s="7" t="s">
        <v>297</v>
      </c>
      <c r="J6" s="7" t="s">
        <v>298</v>
      </c>
      <c r="K6" s="7" t="s">
        <v>299</v>
      </c>
      <c r="L6" s="7" t="s">
        <v>300</v>
      </c>
      <c r="M6" s="7" t="s">
        <v>301</v>
      </c>
      <c r="N6" s="7" t="s">
        <v>192</v>
      </c>
      <c r="O6" s="7" t="s">
        <v>302</v>
      </c>
      <c r="P6" s="7" t="s">
        <v>303</v>
      </c>
      <c r="Q6" s="7" t="s">
        <v>221</v>
      </c>
      <c r="R6" s="7" t="s">
        <v>304</v>
      </c>
      <c r="S6" s="7" t="s">
        <v>305</v>
      </c>
      <c r="T6" s="7" t="s">
        <v>306</v>
      </c>
      <c r="U6" s="7" t="s">
        <v>307</v>
      </c>
      <c r="V6" s="7" t="s">
        <v>308</v>
      </c>
      <c r="W6" s="7" t="s">
        <v>309</v>
      </c>
    </row>
    <row r="7" spans="1:23" x14ac:dyDescent="0.45">
      <c r="A7" s="5" t="s">
        <v>22</v>
      </c>
      <c r="B7" s="5" t="s">
        <v>310</v>
      </c>
      <c r="C7" s="5" t="s">
        <v>311</v>
      </c>
      <c r="D7" s="5">
        <v>135.47999999999999</v>
      </c>
      <c r="E7" s="5"/>
      <c r="F7" s="5" t="s">
        <v>312</v>
      </c>
      <c r="G7" s="5"/>
      <c r="H7" s="5"/>
      <c r="I7" s="5"/>
      <c r="J7" s="5"/>
      <c r="K7" s="5"/>
      <c r="L7" s="5"/>
      <c r="M7" s="5"/>
      <c r="N7" s="9">
        <f t="shared" ref="N7:N38" si="1">IF($D7="","",$D7*IF($E7="",100,$E7)/100*IF(G7="",INDEX(tipos_luz,IFERROR(MATCH($F7,tipos_n,0),1)),G7)/1000)</f>
        <v>0.6774</v>
      </c>
      <c r="O7" s="9">
        <f t="shared" ref="O7:O38" si="2">IF($D7="","",$D7*IF($E7="",100,$E7)/100*IF(H7="",INDEX(tipos_ups,IFERROR(MATCH($F7,tipos_n,0),1)),H7)/1000)</f>
        <v>0</v>
      </c>
      <c r="P7" s="9">
        <f t="shared" ref="P7:P38" si="3">IF($D7="","",$D7*IF($E7="",100,$E7)/100*IF(I7="",INDEX(tipos_rec,IFERROR(MATCH($F7,tipos_n,0),1)),I7)/1000)</f>
        <v>0.13547999999999999</v>
      </c>
      <c r="Q7" s="9">
        <f t="shared" ref="Q7:Q38" si="4">IF($D7="","",$D7*IF($E7="",100,$E7)/100*IF(J7="",INDEX(tipos_hvac,IFERROR(MATCH($F7,tipos_n,0),1)),J7)/1000)</f>
        <v>0.54191999999999996</v>
      </c>
      <c r="R7" s="9">
        <f t="shared" ref="R7:R38" si="5">IF($D7="","",N(K7)/1000)</f>
        <v>0</v>
      </c>
      <c r="S7" s="9">
        <f t="shared" ref="S7:S38" si="6">IF($D7="","",N(L7)/1000)</f>
        <v>0</v>
      </c>
      <c r="T7" s="28">
        <f t="shared" ref="T7:T38" si="7">IF($D7="","",SUM(N7:S7))</f>
        <v>1.3548</v>
      </c>
      <c r="U7" s="25">
        <f t="shared" ref="U7:U38" si="8">IF($D7="","",T7*1000/(p_vUnit*IF(p_fases=3,SQRT(3),1)))</f>
        <v>5.6449999999999996</v>
      </c>
      <c r="V7" s="25">
        <f t="shared" ref="V7:V38" si="9">IF($D7="","",U7*p_protFactor)</f>
        <v>7.0562499999999995</v>
      </c>
      <c r="W7" s="30">
        <f t="shared" ref="W7:W38" si="10">IF($D7="","",IFERROR(MAX(p_minBreaker,INDEX(brk_list,SUMPRODUCT(--(brk_list&lt;V7-0.000000001))+1)),"excede"))</f>
        <v>20</v>
      </c>
    </row>
    <row r="8" spans="1:23" x14ac:dyDescent="0.45">
      <c r="A8" s="5" t="s">
        <v>22</v>
      </c>
      <c r="B8" s="5" t="s">
        <v>310</v>
      </c>
      <c r="C8" s="5" t="s">
        <v>313</v>
      </c>
      <c r="D8" s="5">
        <v>13.26</v>
      </c>
      <c r="E8" s="5"/>
      <c r="F8" s="5" t="s">
        <v>314</v>
      </c>
      <c r="G8" s="5"/>
      <c r="H8" s="5"/>
      <c r="I8" s="5"/>
      <c r="J8" s="5"/>
      <c r="K8" s="5"/>
      <c r="L8" s="5"/>
      <c r="M8" s="5"/>
      <c r="N8" s="9">
        <f t="shared" si="1"/>
        <v>6.6299999999999998E-2</v>
      </c>
      <c r="O8" s="9">
        <f t="shared" si="2"/>
        <v>0</v>
      </c>
      <c r="P8" s="9">
        <f t="shared" si="3"/>
        <v>1.3259999999999999E-2</v>
      </c>
      <c r="Q8" s="9">
        <f t="shared" si="4"/>
        <v>0.1326</v>
      </c>
      <c r="R8" s="9">
        <f t="shared" si="5"/>
        <v>0</v>
      </c>
      <c r="S8" s="9">
        <f t="shared" si="6"/>
        <v>0</v>
      </c>
      <c r="T8" s="28">
        <f t="shared" si="7"/>
        <v>0.21215999999999999</v>
      </c>
      <c r="U8" s="25">
        <f t="shared" si="8"/>
        <v>0.88400000000000001</v>
      </c>
      <c r="V8" s="25">
        <f t="shared" si="9"/>
        <v>1.105</v>
      </c>
      <c r="W8" s="30">
        <f t="shared" si="10"/>
        <v>20</v>
      </c>
    </row>
    <row r="9" spans="1:23" x14ac:dyDescent="0.45">
      <c r="A9" s="5" t="s">
        <v>22</v>
      </c>
      <c r="B9" s="5" t="s">
        <v>315</v>
      </c>
      <c r="C9" s="5" t="s">
        <v>311</v>
      </c>
      <c r="D9" s="5">
        <v>27.16</v>
      </c>
      <c r="E9" s="5"/>
      <c r="F9" s="5" t="s">
        <v>312</v>
      </c>
      <c r="G9" s="5"/>
      <c r="H9" s="5"/>
      <c r="I9" s="5"/>
      <c r="J9" s="5"/>
      <c r="K9" s="5"/>
      <c r="L9" s="5"/>
      <c r="M9" s="5"/>
      <c r="N9" s="9">
        <f t="shared" si="1"/>
        <v>0.1358</v>
      </c>
      <c r="O9" s="9">
        <f t="shared" si="2"/>
        <v>0</v>
      </c>
      <c r="P9" s="9">
        <f t="shared" si="3"/>
        <v>2.716E-2</v>
      </c>
      <c r="Q9" s="9">
        <f t="shared" si="4"/>
        <v>0.10864</v>
      </c>
      <c r="R9" s="9">
        <f t="shared" si="5"/>
        <v>0</v>
      </c>
      <c r="S9" s="9">
        <f t="shared" si="6"/>
        <v>0</v>
      </c>
      <c r="T9" s="28">
        <f t="shared" si="7"/>
        <v>0.27160000000000001</v>
      </c>
      <c r="U9" s="25">
        <f t="shared" si="8"/>
        <v>1.1316666666666668</v>
      </c>
      <c r="V9" s="25">
        <f t="shared" si="9"/>
        <v>1.4145833333333335</v>
      </c>
      <c r="W9" s="30">
        <f t="shared" si="10"/>
        <v>20</v>
      </c>
    </row>
    <row r="10" spans="1:23" x14ac:dyDescent="0.45">
      <c r="A10" s="5" t="s">
        <v>22</v>
      </c>
      <c r="B10" s="5" t="s">
        <v>315</v>
      </c>
      <c r="C10" s="5" t="s">
        <v>313</v>
      </c>
      <c r="D10" s="5">
        <v>25.3</v>
      </c>
      <c r="E10" s="5"/>
      <c r="F10" s="5" t="s">
        <v>314</v>
      </c>
      <c r="G10" s="5"/>
      <c r="H10" s="5"/>
      <c r="I10" s="5"/>
      <c r="J10" s="5"/>
      <c r="K10" s="5"/>
      <c r="L10" s="5"/>
      <c r="M10" s="5"/>
      <c r="N10" s="9">
        <f t="shared" si="1"/>
        <v>0.1265</v>
      </c>
      <c r="O10" s="9">
        <f t="shared" si="2"/>
        <v>0</v>
      </c>
      <c r="P10" s="9">
        <f t="shared" si="3"/>
        <v>2.53E-2</v>
      </c>
      <c r="Q10" s="9">
        <f t="shared" si="4"/>
        <v>0.253</v>
      </c>
      <c r="R10" s="9">
        <f t="shared" si="5"/>
        <v>0</v>
      </c>
      <c r="S10" s="9">
        <f t="shared" si="6"/>
        <v>0</v>
      </c>
      <c r="T10" s="28">
        <f t="shared" si="7"/>
        <v>0.40479999999999999</v>
      </c>
      <c r="U10" s="25">
        <f t="shared" si="8"/>
        <v>1.6866666666666668</v>
      </c>
      <c r="V10" s="25">
        <f t="shared" si="9"/>
        <v>2.1083333333333334</v>
      </c>
      <c r="W10" s="30">
        <f t="shared" si="10"/>
        <v>20</v>
      </c>
    </row>
    <row r="11" spans="1:23" x14ac:dyDescent="0.45">
      <c r="A11" s="5" t="s">
        <v>22</v>
      </c>
      <c r="B11" s="5" t="s">
        <v>316</v>
      </c>
      <c r="C11" s="5" t="s">
        <v>311</v>
      </c>
      <c r="D11" s="5">
        <v>278.72000000000003</v>
      </c>
      <c r="E11" s="5"/>
      <c r="F11" s="5" t="s">
        <v>312</v>
      </c>
      <c r="G11" s="5"/>
      <c r="H11" s="5"/>
      <c r="I11" s="5"/>
      <c r="J11" s="5"/>
      <c r="K11" s="5"/>
      <c r="L11" s="5"/>
      <c r="M11" s="5"/>
      <c r="N11" s="9">
        <f t="shared" si="1"/>
        <v>1.3936000000000002</v>
      </c>
      <c r="O11" s="9">
        <f t="shared" si="2"/>
        <v>0</v>
      </c>
      <c r="P11" s="9">
        <f t="shared" si="3"/>
        <v>0.27872000000000002</v>
      </c>
      <c r="Q11" s="9">
        <f t="shared" si="4"/>
        <v>1.1148800000000001</v>
      </c>
      <c r="R11" s="9">
        <f t="shared" si="5"/>
        <v>0</v>
      </c>
      <c r="S11" s="9">
        <f t="shared" si="6"/>
        <v>0</v>
      </c>
      <c r="T11" s="28">
        <f t="shared" si="7"/>
        <v>2.7872000000000003</v>
      </c>
      <c r="U11" s="25">
        <f t="shared" si="8"/>
        <v>11.613333333333335</v>
      </c>
      <c r="V11" s="25">
        <f t="shared" si="9"/>
        <v>14.516666666666669</v>
      </c>
      <c r="W11" s="30">
        <f t="shared" si="10"/>
        <v>20</v>
      </c>
    </row>
    <row r="12" spans="1:23" x14ac:dyDescent="0.45">
      <c r="A12" s="5" t="s">
        <v>22</v>
      </c>
      <c r="B12" s="5" t="s">
        <v>316</v>
      </c>
      <c r="C12" s="5" t="s">
        <v>313</v>
      </c>
      <c r="D12" s="5">
        <v>25.3</v>
      </c>
      <c r="E12" s="5"/>
      <c r="F12" s="5" t="s">
        <v>314</v>
      </c>
      <c r="G12" s="5"/>
      <c r="H12" s="5"/>
      <c r="I12" s="5"/>
      <c r="J12" s="5"/>
      <c r="K12" s="5"/>
      <c r="L12" s="5"/>
      <c r="M12" s="5"/>
      <c r="N12" s="9">
        <f t="shared" si="1"/>
        <v>0.1265</v>
      </c>
      <c r="O12" s="9">
        <f t="shared" si="2"/>
        <v>0</v>
      </c>
      <c r="P12" s="9">
        <f t="shared" si="3"/>
        <v>2.53E-2</v>
      </c>
      <c r="Q12" s="9">
        <f t="shared" si="4"/>
        <v>0.253</v>
      </c>
      <c r="R12" s="9">
        <f t="shared" si="5"/>
        <v>0</v>
      </c>
      <c r="S12" s="9">
        <f t="shared" si="6"/>
        <v>0</v>
      </c>
      <c r="T12" s="28">
        <f t="shared" si="7"/>
        <v>0.40479999999999999</v>
      </c>
      <c r="U12" s="25">
        <f t="shared" si="8"/>
        <v>1.6866666666666668</v>
      </c>
      <c r="V12" s="25">
        <f t="shared" si="9"/>
        <v>2.1083333333333334</v>
      </c>
      <c r="W12" s="30">
        <f t="shared" si="10"/>
        <v>20</v>
      </c>
    </row>
    <row r="13" spans="1:23" x14ac:dyDescent="0.4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9" t="str">
        <f t="shared" si="1"/>
        <v/>
      </c>
      <c r="O13" s="9" t="str">
        <f t="shared" si="2"/>
        <v/>
      </c>
      <c r="P13" s="9" t="str">
        <f t="shared" si="3"/>
        <v/>
      </c>
      <c r="Q13" s="9" t="str">
        <f t="shared" si="4"/>
        <v/>
      </c>
      <c r="R13" s="9" t="str">
        <f t="shared" si="5"/>
        <v/>
      </c>
      <c r="S13" s="9" t="str">
        <f t="shared" si="6"/>
        <v/>
      </c>
      <c r="T13" s="28" t="str">
        <f t="shared" si="7"/>
        <v/>
      </c>
      <c r="U13" s="25" t="str">
        <f t="shared" si="8"/>
        <v/>
      </c>
      <c r="V13" s="25" t="str">
        <f t="shared" si="9"/>
        <v/>
      </c>
      <c r="W13" s="30" t="str">
        <f t="shared" si="10"/>
        <v/>
      </c>
    </row>
    <row r="14" spans="1:23" x14ac:dyDescent="0.4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9" t="str">
        <f t="shared" si="1"/>
        <v/>
      </c>
      <c r="O14" s="9" t="str">
        <f t="shared" si="2"/>
        <v/>
      </c>
      <c r="P14" s="9" t="str">
        <f t="shared" si="3"/>
        <v/>
      </c>
      <c r="Q14" s="9" t="str">
        <f t="shared" si="4"/>
        <v/>
      </c>
      <c r="R14" s="9" t="str">
        <f t="shared" si="5"/>
        <v/>
      </c>
      <c r="S14" s="9" t="str">
        <f t="shared" si="6"/>
        <v/>
      </c>
      <c r="T14" s="28" t="str">
        <f t="shared" si="7"/>
        <v/>
      </c>
      <c r="U14" s="25" t="str">
        <f t="shared" si="8"/>
        <v/>
      </c>
      <c r="V14" s="25" t="str">
        <f t="shared" si="9"/>
        <v/>
      </c>
      <c r="W14" s="30" t="str">
        <f t="shared" si="10"/>
        <v/>
      </c>
    </row>
    <row r="15" spans="1:23" x14ac:dyDescent="0.4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9" t="str">
        <f t="shared" si="1"/>
        <v/>
      </c>
      <c r="O15" s="9" t="str">
        <f t="shared" si="2"/>
        <v/>
      </c>
      <c r="P15" s="9" t="str">
        <f t="shared" si="3"/>
        <v/>
      </c>
      <c r="Q15" s="9" t="str">
        <f t="shared" si="4"/>
        <v/>
      </c>
      <c r="R15" s="9" t="str">
        <f t="shared" si="5"/>
        <v/>
      </c>
      <c r="S15" s="9" t="str">
        <f t="shared" si="6"/>
        <v/>
      </c>
      <c r="T15" s="28" t="str">
        <f t="shared" si="7"/>
        <v/>
      </c>
      <c r="U15" s="25" t="str">
        <f t="shared" si="8"/>
        <v/>
      </c>
      <c r="V15" s="25" t="str">
        <f t="shared" si="9"/>
        <v/>
      </c>
      <c r="W15" s="30" t="str">
        <f t="shared" si="10"/>
        <v/>
      </c>
    </row>
    <row r="16" spans="1:23" x14ac:dyDescent="0.4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9" t="str">
        <f t="shared" si="1"/>
        <v/>
      </c>
      <c r="O16" s="9" t="str">
        <f t="shared" si="2"/>
        <v/>
      </c>
      <c r="P16" s="9" t="str">
        <f t="shared" si="3"/>
        <v/>
      </c>
      <c r="Q16" s="9" t="str">
        <f t="shared" si="4"/>
        <v/>
      </c>
      <c r="R16" s="9" t="str">
        <f t="shared" si="5"/>
        <v/>
      </c>
      <c r="S16" s="9" t="str">
        <f t="shared" si="6"/>
        <v/>
      </c>
      <c r="T16" s="28" t="str">
        <f t="shared" si="7"/>
        <v/>
      </c>
      <c r="U16" s="25" t="str">
        <f t="shared" si="8"/>
        <v/>
      </c>
      <c r="V16" s="25" t="str">
        <f t="shared" si="9"/>
        <v/>
      </c>
      <c r="W16" s="30" t="str">
        <f t="shared" si="10"/>
        <v/>
      </c>
    </row>
    <row r="17" spans="1:23" x14ac:dyDescent="0.4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9" t="str">
        <f t="shared" si="1"/>
        <v/>
      </c>
      <c r="O17" s="9" t="str">
        <f t="shared" si="2"/>
        <v/>
      </c>
      <c r="P17" s="9" t="str">
        <f t="shared" si="3"/>
        <v/>
      </c>
      <c r="Q17" s="9" t="str">
        <f t="shared" si="4"/>
        <v/>
      </c>
      <c r="R17" s="9" t="str">
        <f t="shared" si="5"/>
        <v/>
      </c>
      <c r="S17" s="9" t="str">
        <f t="shared" si="6"/>
        <v/>
      </c>
      <c r="T17" s="28" t="str">
        <f t="shared" si="7"/>
        <v/>
      </c>
      <c r="U17" s="25" t="str">
        <f t="shared" si="8"/>
        <v/>
      </c>
      <c r="V17" s="25" t="str">
        <f t="shared" si="9"/>
        <v/>
      </c>
      <c r="W17" s="30" t="str">
        <f t="shared" si="10"/>
        <v/>
      </c>
    </row>
    <row r="18" spans="1:23" x14ac:dyDescent="0.4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9" t="str">
        <f t="shared" si="1"/>
        <v/>
      </c>
      <c r="O18" s="9" t="str">
        <f t="shared" si="2"/>
        <v/>
      </c>
      <c r="P18" s="9" t="str">
        <f t="shared" si="3"/>
        <v/>
      </c>
      <c r="Q18" s="9" t="str">
        <f t="shared" si="4"/>
        <v/>
      </c>
      <c r="R18" s="9" t="str">
        <f t="shared" si="5"/>
        <v/>
      </c>
      <c r="S18" s="9" t="str">
        <f t="shared" si="6"/>
        <v/>
      </c>
      <c r="T18" s="28" t="str">
        <f t="shared" si="7"/>
        <v/>
      </c>
      <c r="U18" s="25" t="str">
        <f t="shared" si="8"/>
        <v/>
      </c>
      <c r="V18" s="25" t="str">
        <f t="shared" si="9"/>
        <v/>
      </c>
      <c r="W18" s="30" t="str">
        <f t="shared" si="10"/>
        <v/>
      </c>
    </row>
    <row r="19" spans="1:23" x14ac:dyDescent="0.4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9" t="str">
        <f t="shared" si="1"/>
        <v/>
      </c>
      <c r="O19" s="9" t="str">
        <f t="shared" si="2"/>
        <v/>
      </c>
      <c r="P19" s="9" t="str">
        <f t="shared" si="3"/>
        <v/>
      </c>
      <c r="Q19" s="9" t="str">
        <f t="shared" si="4"/>
        <v/>
      </c>
      <c r="R19" s="9" t="str">
        <f t="shared" si="5"/>
        <v/>
      </c>
      <c r="S19" s="9" t="str">
        <f t="shared" si="6"/>
        <v/>
      </c>
      <c r="T19" s="28" t="str">
        <f t="shared" si="7"/>
        <v/>
      </c>
      <c r="U19" s="25" t="str">
        <f t="shared" si="8"/>
        <v/>
      </c>
      <c r="V19" s="25" t="str">
        <f t="shared" si="9"/>
        <v/>
      </c>
      <c r="W19" s="30" t="str">
        <f t="shared" si="10"/>
        <v/>
      </c>
    </row>
    <row r="20" spans="1:23" x14ac:dyDescent="0.4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9" t="str">
        <f t="shared" si="1"/>
        <v/>
      </c>
      <c r="O20" s="9" t="str">
        <f t="shared" si="2"/>
        <v/>
      </c>
      <c r="P20" s="9" t="str">
        <f t="shared" si="3"/>
        <v/>
      </c>
      <c r="Q20" s="9" t="str">
        <f t="shared" si="4"/>
        <v/>
      </c>
      <c r="R20" s="9" t="str">
        <f t="shared" si="5"/>
        <v/>
      </c>
      <c r="S20" s="9" t="str">
        <f t="shared" si="6"/>
        <v/>
      </c>
      <c r="T20" s="28" t="str">
        <f t="shared" si="7"/>
        <v/>
      </c>
      <c r="U20" s="25" t="str">
        <f t="shared" si="8"/>
        <v/>
      </c>
      <c r="V20" s="25" t="str">
        <f t="shared" si="9"/>
        <v/>
      </c>
      <c r="W20" s="30" t="str">
        <f t="shared" si="10"/>
        <v/>
      </c>
    </row>
    <row r="21" spans="1:23" x14ac:dyDescent="0.4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9" t="str">
        <f t="shared" si="1"/>
        <v/>
      </c>
      <c r="O21" s="9" t="str">
        <f t="shared" si="2"/>
        <v/>
      </c>
      <c r="P21" s="9" t="str">
        <f t="shared" si="3"/>
        <v/>
      </c>
      <c r="Q21" s="9" t="str">
        <f t="shared" si="4"/>
        <v/>
      </c>
      <c r="R21" s="9" t="str">
        <f t="shared" si="5"/>
        <v/>
      </c>
      <c r="S21" s="9" t="str">
        <f t="shared" si="6"/>
        <v/>
      </c>
      <c r="T21" s="28" t="str">
        <f t="shared" si="7"/>
        <v/>
      </c>
      <c r="U21" s="25" t="str">
        <f t="shared" si="8"/>
        <v/>
      </c>
      <c r="V21" s="25" t="str">
        <f t="shared" si="9"/>
        <v/>
      </c>
      <c r="W21" s="30" t="str">
        <f t="shared" si="10"/>
        <v/>
      </c>
    </row>
    <row r="22" spans="1:23" x14ac:dyDescent="0.4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9" t="str">
        <f t="shared" si="1"/>
        <v/>
      </c>
      <c r="O22" s="9" t="str">
        <f t="shared" si="2"/>
        <v/>
      </c>
      <c r="P22" s="9" t="str">
        <f t="shared" si="3"/>
        <v/>
      </c>
      <c r="Q22" s="9" t="str">
        <f t="shared" si="4"/>
        <v/>
      </c>
      <c r="R22" s="9" t="str">
        <f t="shared" si="5"/>
        <v/>
      </c>
      <c r="S22" s="9" t="str">
        <f t="shared" si="6"/>
        <v/>
      </c>
      <c r="T22" s="28" t="str">
        <f t="shared" si="7"/>
        <v/>
      </c>
      <c r="U22" s="25" t="str">
        <f t="shared" si="8"/>
        <v/>
      </c>
      <c r="V22" s="25" t="str">
        <f t="shared" si="9"/>
        <v/>
      </c>
      <c r="W22" s="30" t="str">
        <f t="shared" si="10"/>
        <v/>
      </c>
    </row>
    <row r="23" spans="1:23" x14ac:dyDescent="0.4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9" t="str">
        <f t="shared" si="1"/>
        <v/>
      </c>
      <c r="O23" s="9" t="str">
        <f t="shared" si="2"/>
        <v/>
      </c>
      <c r="P23" s="9" t="str">
        <f t="shared" si="3"/>
        <v/>
      </c>
      <c r="Q23" s="9" t="str">
        <f t="shared" si="4"/>
        <v/>
      </c>
      <c r="R23" s="9" t="str">
        <f t="shared" si="5"/>
        <v/>
      </c>
      <c r="S23" s="9" t="str">
        <f t="shared" si="6"/>
        <v/>
      </c>
      <c r="T23" s="28" t="str">
        <f t="shared" si="7"/>
        <v/>
      </c>
      <c r="U23" s="25" t="str">
        <f t="shared" si="8"/>
        <v/>
      </c>
      <c r="V23" s="25" t="str">
        <f t="shared" si="9"/>
        <v/>
      </c>
      <c r="W23" s="30" t="str">
        <f t="shared" si="10"/>
        <v/>
      </c>
    </row>
    <row r="24" spans="1:23" x14ac:dyDescent="0.4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9" t="str">
        <f t="shared" si="1"/>
        <v/>
      </c>
      <c r="O24" s="9" t="str">
        <f t="shared" si="2"/>
        <v/>
      </c>
      <c r="P24" s="9" t="str">
        <f t="shared" si="3"/>
        <v/>
      </c>
      <c r="Q24" s="9" t="str">
        <f t="shared" si="4"/>
        <v/>
      </c>
      <c r="R24" s="9" t="str">
        <f t="shared" si="5"/>
        <v/>
      </c>
      <c r="S24" s="9" t="str">
        <f t="shared" si="6"/>
        <v/>
      </c>
      <c r="T24" s="28" t="str">
        <f t="shared" si="7"/>
        <v/>
      </c>
      <c r="U24" s="25" t="str">
        <f t="shared" si="8"/>
        <v/>
      </c>
      <c r="V24" s="25" t="str">
        <f t="shared" si="9"/>
        <v/>
      </c>
      <c r="W24" s="30" t="str">
        <f t="shared" si="10"/>
        <v/>
      </c>
    </row>
    <row r="25" spans="1:23" x14ac:dyDescent="0.4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9" t="str">
        <f t="shared" si="1"/>
        <v/>
      </c>
      <c r="O25" s="9" t="str">
        <f t="shared" si="2"/>
        <v/>
      </c>
      <c r="P25" s="9" t="str">
        <f t="shared" si="3"/>
        <v/>
      </c>
      <c r="Q25" s="9" t="str">
        <f t="shared" si="4"/>
        <v/>
      </c>
      <c r="R25" s="9" t="str">
        <f t="shared" si="5"/>
        <v/>
      </c>
      <c r="S25" s="9" t="str">
        <f t="shared" si="6"/>
        <v/>
      </c>
      <c r="T25" s="28" t="str">
        <f t="shared" si="7"/>
        <v/>
      </c>
      <c r="U25" s="25" t="str">
        <f t="shared" si="8"/>
        <v/>
      </c>
      <c r="V25" s="25" t="str">
        <f t="shared" si="9"/>
        <v/>
      </c>
      <c r="W25" s="30" t="str">
        <f t="shared" si="10"/>
        <v/>
      </c>
    </row>
    <row r="26" spans="1:23" x14ac:dyDescent="0.4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9" t="str">
        <f t="shared" si="1"/>
        <v/>
      </c>
      <c r="O26" s="9" t="str">
        <f t="shared" si="2"/>
        <v/>
      </c>
      <c r="P26" s="9" t="str">
        <f t="shared" si="3"/>
        <v/>
      </c>
      <c r="Q26" s="9" t="str">
        <f t="shared" si="4"/>
        <v/>
      </c>
      <c r="R26" s="9" t="str">
        <f t="shared" si="5"/>
        <v/>
      </c>
      <c r="S26" s="9" t="str">
        <f t="shared" si="6"/>
        <v/>
      </c>
      <c r="T26" s="28" t="str">
        <f t="shared" si="7"/>
        <v/>
      </c>
      <c r="U26" s="25" t="str">
        <f t="shared" si="8"/>
        <v/>
      </c>
      <c r="V26" s="25" t="str">
        <f t="shared" si="9"/>
        <v/>
      </c>
      <c r="W26" s="30" t="str">
        <f t="shared" si="10"/>
        <v/>
      </c>
    </row>
    <row r="27" spans="1:23" x14ac:dyDescent="0.4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9" t="str">
        <f t="shared" si="1"/>
        <v/>
      </c>
      <c r="O27" s="9" t="str">
        <f t="shared" si="2"/>
        <v/>
      </c>
      <c r="P27" s="9" t="str">
        <f t="shared" si="3"/>
        <v/>
      </c>
      <c r="Q27" s="9" t="str">
        <f t="shared" si="4"/>
        <v/>
      </c>
      <c r="R27" s="9" t="str">
        <f t="shared" si="5"/>
        <v/>
      </c>
      <c r="S27" s="9" t="str">
        <f t="shared" si="6"/>
        <v/>
      </c>
      <c r="T27" s="28" t="str">
        <f t="shared" si="7"/>
        <v/>
      </c>
      <c r="U27" s="25" t="str">
        <f t="shared" si="8"/>
        <v/>
      </c>
      <c r="V27" s="25" t="str">
        <f t="shared" si="9"/>
        <v/>
      </c>
      <c r="W27" s="30" t="str">
        <f t="shared" si="10"/>
        <v/>
      </c>
    </row>
    <row r="28" spans="1:23" x14ac:dyDescent="0.4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9" t="str">
        <f t="shared" si="1"/>
        <v/>
      </c>
      <c r="O28" s="9" t="str">
        <f t="shared" si="2"/>
        <v/>
      </c>
      <c r="P28" s="9" t="str">
        <f t="shared" si="3"/>
        <v/>
      </c>
      <c r="Q28" s="9" t="str">
        <f t="shared" si="4"/>
        <v/>
      </c>
      <c r="R28" s="9" t="str">
        <f t="shared" si="5"/>
        <v/>
      </c>
      <c r="S28" s="9" t="str">
        <f t="shared" si="6"/>
        <v/>
      </c>
      <c r="T28" s="28" t="str">
        <f t="shared" si="7"/>
        <v/>
      </c>
      <c r="U28" s="25" t="str">
        <f t="shared" si="8"/>
        <v/>
      </c>
      <c r="V28" s="25" t="str">
        <f t="shared" si="9"/>
        <v/>
      </c>
      <c r="W28" s="30" t="str">
        <f t="shared" si="10"/>
        <v/>
      </c>
    </row>
    <row r="29" spans="1:23" x14ac:dyDescent="0.4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9" t="str">
        <f t="shared" si="1"/>
        <v/>
      </c>
      <c r="O29" s="9" t="str">
        <f t="shared" si="2"/>
        <v/>
      </c>
      <c r="P29" s="9" t="str">
        <f t="shared" si="3"/>
        <v/>
      </c>
      <c r="Q29" s="9" t="str">
        <f t="shared" si="4"/>
        <v/>
      </c>
      <c r="R29" s="9" t="str">
        <f t="shared" si="5"/>
        <v/>
      </c>
      <c r="S29" s="9" t="str">
        <f t="shared" si="6"/>
        <v/>
      </c>
      <c r="T29" s="28" t="str">
        <f t="shared" si="7"/>
        <v/>
      </c>
      <c r="U29" s="25" t="str">
        <f t="shared" si="8"/>
        <v/>
      </c>
      <c r="V29" s="25" t="str">
        <f t="shared" si="9"/>
        <v/>
      </c>
      <c r="W29" s="30" t="str">
        <f t="shared" si="10"/>
        <v/>
      </c>
    </row>
    <row r="30" spans="1:23" x14ac:dyDescent="0.4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9" t="str">
        <f t="shared" si="1"/>
        <v/>
      </c>
      <c r="O30" s="9" t="str">
        <f t="shared" si="2"/>
        <v/>
      </c>
      <c r="P30" s="9" t="str">
        <f t="shared" si="3"/>
        <v/>
      </c>
      <c r="Q30" s="9" t="str">
        <f t="shared" si="4"/>
        <v/>
      </c>
      <c r="R30" s="9" t="str">
        <f t="shared" si="5"/>
        <v/>
      </c>
      <c r="S30" s="9" t="str">
        <f t="shared" si="6"/>
        <v/>
      </c>
      <c r="T30" s="28" t="str">
        <f t="shared" si="7"/>
        <v/>
      </c>
      <c r="U30" s="25" t="str">
        <f t="shared" si="8"/>
        <v/>
      </c>
      <c r="V30" s="25" t="str">
        <f t="shared" si="9"/>
        <v/>
      </c>
      <c r="W30" s="30" t="str">
        <f t="shared" si="10"/>
        <v/>
      </c>
    </row>
    <row r="31" spans="1:23" x14ac:dyDescent="0.4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9" t="str">
        <f t="shared" si="1"/>
        <v/>
      </c>
      <c r="O31" s="9" t="str">
        <f t="shared" si="2"/>
        <v/>
      </c>
      <c r="P31" s="9" t="str">
        <f t="shared" si="3"/>
        <v/>
      </c>
      <c r="Q31" s="9" t="str">
        <f t="shared" si="4"/>
        <v/>
      </c>
      <c r="R31" s="9" t="str">
        <f t="shared" si="5"/>
        <v/>
      </c>
      <c r="S31" s="9" t="str">
        <f t="shared" si="6"/>
        <v/>
      </c>
      <c r="T31" s="28" t="str">
        <f t="shared" si="7"/>
        <v/>
      </c>
      <c r="U31" s="25" t="str">
        <f t="shared" si="8"/>
        <v/>
      </c>
      <c r="V31" s="25" t="str">
        <f t="shared" si="9"/>
        <v/>
      </c>
      <c r="W31" s="30" t="str">
        <f t="shared" si="10"/>
        <v/>
      </c>
    </row>
    <row r="32" spans="1:23" x14ac:dyDescent="0.4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9" t="str">
        <f t="shared" si="1"/>
        <v/>
      </c>
      <c r="O32" s="9" t="str">
        <f t="shared" si="2"/>
        <v/>
      </c>
      <c r="P32" s="9" t="str">
        <f t="shared" si="3"/>
        <v/>
      </c>
      <c r="Q32" s="9" t="str">
        <f t="shared" si="4"/>
        <v/>
      </c>
      <c r="R32" s="9" t="str">
        <f t="shared" si="5"/>
        <v/>
      </c>
      <c r="S32" s="9" t="str">
        <f t="shared" si="6"/>
        <v/>
      </c>
      <c r="T32" s="28" t="str">
        <f t="shared" si="7"/>
        <v/>
      </c>
      <c r="U32" s="25" t="str">
        <f t="shared" si="8"/>
        <v/>
      </c>
      <c r="V32" s="25" t="str">
        <f t="shared" si="9"/>
        <v/>
      </c>
      <c r="W32" s="30" t="str">
        <f t="shared" si="10"/>
        <v/>
      </c>
    </row>
    <row r="33" spans="1:23" x14ac:dyDescent="0.4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9" t="str">
        <f t="shared" si="1"/>
        <v/>
      </c>
      <c r="O33" s="9" t="str">
        <f t="shared" si="2"/>
        <v/>
      </c>
      <c r="P33" s="9" t="str">
        <f t="shared" si="3"/>
        <v/>
      </c>
      <c r="Q33" s="9" t="str">
        <f t="shared" si="4"/>
        <v/>
      </c>
      <c r="R33" s="9" t="str">
        <f t="shared" si="5"/>
        <v/>
      </c>
      <c r="S33" s="9" t="str">
        <f t="shared" si="6"/>
        <v/>
      </c>
      <c r="T33" s="28" t="str">
        <f t="shared" si="7"/>
        <v/>
      </c>
      <c r="U33" s="25" t="str">
        <f t="shared" si="8"/>
        <v/>
      </c>
      <c r="V33" s="25" t="str">
        <f t="shared" si="9"/>
        <v/>
      </c>
      <c r="W33" s="30" t="str">
        <f t="shared" si="10"/>
        <v/>
      </c>
    </row>
    <row r="34" spans="1:23" x14ac:dyDescent="0.4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9" t="str">
        <f t="shared" si="1"/>
        <v/>
      </c>
      <c r="O34" s="9" t="str">
        <f t="shared" si="2"/>
        <v/>
      </c>
      <c r="P34" s="9" t="str">
        <f t="shared" si="3"/>
        <v/>
      </c>
      <c r="Q34" s="9" t="str">
        <f t="shared" si="4"/>
        <v/>
      </c>
      <c r="R34" s="9" t="str">
        <f t="shared" si="5"/>
        <v/>
      </c>
      <c r="S34" s="9" t="str">
        <f t="shared" si="6"/>
        <v/>
      </c>
      <c r="T34" s="28" t="str">
        <f t="shared" si="7"/>
        <v/>
      </c>
      <c r="U34" s="25" t="str">
        <f t="shared" si="8"/>
        <v/>
      </c>
      <c r="V34" s="25" t="str">
        <f t="shared" si="9"/>
        <v/>
      </c>
      <c r="W34" s="30" t="str">
        <f t="shared" si="10"/>
        <v/>
      </c>
    </row>
    <row r="35" spans="1:23" x14ac:dyDescent="0.4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9" t="str">
        <f t="shared" si="1"/>
        <v/>
      </c>
      <c r="O35" s="9" t="str">
        <f t="shared" si="2"/>
        <v/>
      </c>
      <c r="P35" s="9" t="str">
        <f t="shared" si="3"/>
        <v/>
      </c>
      <c r="Q35" s="9" t="str">
        <f t="shared" si="4"/>
        <v/>
      </c>
      <c r="R35" s="9" t="str">
        <f t="shared" si="5"/>
        <v/>
      </c>
      <c r="S35" s="9" t="str">
        <f t="shared" si="6"/>
        <v/>
      </c>
      <c r="T35" s="28" t="str">
        <f t="shared" si="7"/>
        <v/>
      </c>
      <c r="U35" s="25" t="str">
        <f t="shared" si="8"/>
        <v/>
      </c>
      <c r="V35" s="25" t="str">
        <f t="shared" si="9"/>
        <v/>
      </c>
      <c r="W35" s="30" t="str">
        <f t="shared" si="10"/>
        <v/>
      </c>
    </row>
    <row r="36" spans="1:23" x14ac:dyDescent="0.4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9" t="str">
        <f t="shared" si="1"/>
        <v/>
      </c>
      <c r="O36" s="9" t="str">
        <f t="shared" si="2"/>
        <v/>
      </c>
      <c r="P36" s="9" t="str">
        <f t="shared" si="3"/>
        <v/>
      </c>
      <c r="Q36" s="9" t="str">
        <f t="shared" si="4"/>
        <v/>
      </c>
      <c r="R36" s="9" t="str">
        <f t="shared" si="5"/>
        <v/>
      </c>
      <c r="S36" s="9" t="str">
        <f t="shared" si="6"/>
        <v/>
      </c>
      <c r="T36" s="28" t="str">
        <f t="shared" si="7"/>
        <v/>
      </c>
      <c r="U36" s="25" t="str">
        <f t="shared" si="8"/>
        <v/>
      </c>
      <c r="V36" s="25" t="str">
        <f t="shared" si="9"/>
        <v/>
      </c>
      <c r="W36" s="30" t="str">
        <f t="shared" si="10"/>
        <v/>
      </c>
    </row>
    <row r="37" spans="1:23" x14ac:dyDescent="0.4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9" t="str">
        <f t="shared" si="1"/>
        <v/>
      </c>
      <c r="O37" s="9" t="str">
        <f t="shared" si="2"/>
        <v/>
      </c>
      <c r="P37" s="9" t="str">
        <f t="shared" si="3"/>
        <v/>
      </c>
      <c r="Q37" s="9" t="str">
        <f t="shared" si="4"/>
        <v/>
      </c>
      <c r="R37" s="9" t="str">
        <f t="shared" si="5"/>
        <v/>
      </c>
      <c r="S37" s="9" t="str">
        <f t="shared" si="6"/>
        <v/>
      </c>
      <c r="T37" s="28" t="str">
        <f t="shared" si="7"/>
        <v/>
      </c>
      <c r="U37" s="25" t="str">
        <f t="shared" si="8"/>
        <v/>
      </c>
      <c r="V37" s="25" t="str">
        <f t="shared" si="9"/>
        <v/>
      </c>
      <c r="W37" s="30" t="str">
        <f t="shared" si="10"/>
        <v/>
      </c>
    </row>
    <row r="38" spans="1:23" x14ac:dyDescent="0.4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9" t="str">
        <f t="shared" si="1"/>
        <v/>
      </c>
      <c r="O38" s="9" t="str">
        <f t="shared" si="2"/>
        <v/>
      </c>
      <c r="P38" s="9" t="str">
        <f t="shared" si="3"/>
        <v/>
      </c>
      <c r="Q38" s="9" t="str">
        <f t="shared" si="4"/>
        <v/>
      </c>
      <c r="R38" s="9" t="str">
        <f t="shared" si="5"/>
        <v/>
      </c>
      <c r="S38" s="9" t="str">
        <f t="shared" si="6"/>
        <v/>
      </c>
      <c r="T38" s="28" t="str">
        <f t="shared" si="7"/>
        <v/>
      </c>
      <c r="U38" s="25" t="str">
        <f t="shared" si="8"/>
        <v/>
      </c>
      <c r="V38" s="25" t="str">
        <f t="shared" si="9"/>
        <v/>
      </c>
      <c r="W38" s="30" t="str">
        <f t="shared" si="10"/>
        <v/>
      </c>
    </row>
    <row r="39" spans="1:23" x14ac:dyDescent="0.4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9" t="str">
        <f t="shared" ref="N39:N70" si="11">IF($D39="","",$D39*IF($E39="",100,$E39)/100*IF(G39="",INDEX(tipos_luz,IFERROR(MATCH($F39,tipos_n,0),1)),G39)/1000)</f>
        <v/>
      </c>
      <c r="O39" s="9" t="str">
        <f t="shared" ref="O39:O70" si="12">IF($D39="","",$D39*IF($E39="",100,$E39)/100*IF(H39="",INDEX(tipos_ups,IFERROR(MATCH($F39,tipos_n,0),1)),H39)/1000)</f>
        <v/>
      </c>
      <c r="P39" s="9" t="str">
        <f t="shared" ref="P39:P70" si="13">IF($D39="","",$D39*IF($E39="",100,$E39)/100*IF(I39="",INDEX(tipos_rec,IFERROR(MATCH($F39,tipos_n,0),1)),I39)/1000)</f>
        <v/>
      </c>
      <c r="Q39" s="9" t="str">
        <f t="shared" ref="Q39:Q70" si="14">IF($D39="","",$D39*IF($E39="",100,$E39)/100*IF(J39="",INDEX(tipos_hvac,IFERROR(MATCH($F39,tipos_n,0),1)),J39)/1000)</f>
        <v/>
      </c>
      <c r="R39" s="9" t="str">
        <f t="shared" ref="R39:R70" si="15">IF($D39="","",N(K39)/1000)</f>
        <v/>
      </c>
      <c r="S39" s="9" t="str">
        <f t="shared" ref="S39:S70" si="16">IF($D39="","",N(L39)/1000)</f>
        <v/>
      </c>
      <c r="T39" s="28" t="str">
        <f t="shared" ref="T39:T70" si="17">IF($D39="","",SUM(N39:S39))</f>
        <v/>
      </c>
      <c r="U39" s="25" t="str">
        <f t="shared" ref="U39:U70" si="18">IF($D39="","",T39*1000/(p_vUnit*IF(p_fases=3,SQRT(3),1)))</f>
        <v/>
      </c>
      <c r="V39" s="25" t="str">
        <f t="shared" ref="V39:V70" si="19">IF($D39="","",U39*p_protFactor)</f>
        <v/>
      </c>
      <c r="W39" s="30" t="str">
        <f t="shared" ref="W39:W70" si="20">IF($D39="","",IFERROR(MAX(p_minBreaker,INDEX(brk_list,SUMPRODUCT(--(brk_list&lt;V39-0.000000001))+1)),"excede"))</f>
        <v/>
      </c>
    </row>
    <row r="40" spans="1:23" x14ac:dyDescent="0.4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9" t="str">
        <f t="shared" si="11"/>
        <v/>
      </c>
      <c r="O40" s="9" t="str">
        <f t="shared" si="12"/>
        <v/>
      </c>
      <c r="P40" s="9" t="str">
        <f t="shared" si="13"/>
        <v/>
      </c>
      <c r="Q40" s="9" t="str">
        <f t="shared" si="14"/>
        <v/>
      </c>
      <c r="R40" s="9" t="str">
        <f t="shared" si="15"/>
        <v/>
      </c>
      <c r="S40" s="9" t="str">
        <f t="shared" si="16"/>
        <v/>
      </c>
      <c r="T40" s="28" t="str">
        <f t="shared" si="17"/>
        <v/>
      </c>
      <c r="U40" s="25" t="str">
        <f t="shared" si="18"/>
        <v/>
      </c>
      <c r="V40" s="25" t="str">
        <f t="shared" si="19"/>
        <v/>
      </c>
      <c r="W40" s="30" t="str">
        <f t="shared" si="20"/>
        <v/>
      </c>
    </row>
    <row r="41" spans="1:23" x14ac:dyDescent="0.4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9" t="str">
        <f t="shared" si="11"/>
        <v/>
      </c>
      <c r="O41" s="9" t="str">
        <f t="shared" si="12"/>
        <v/>
      </c>
      <c r="P41" s="9" t="str">
        <f t="shared" si="13"/>
        <v/>
      </c>
      <c r="Q41" s="9" t="str">
        <f t="shared" si="14"/>
        <v/>
      </c>
      <c r="R41" s="9" t="str">
        <f t="shared" si="15"/>
        <v/>
      </c>
      <c r="S41" s="9" t="str">
        <f t="shared" si="16"/>
        <v/>
      </c>
      <c r="T41" s="28" t="str">
        <f t="shared" si="17"/>
        <v/>
      </c>
      <c r="U41" s="25" t="str">
        <f t="shared" si="18"/>
        <v/>
      </c>
      <c r="V41" s="25" t="str">
        <f t="shared" si="19"/>
        <v/>
      </c>
      <c r="W41" s="30" t="str">
        <f t="shared" si="20"/>
        <v/>
      </c>
    </row>
    <row r="42" spans="1:23" x14ac:dyDescent="0.4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9" t="str">
        <f t="shared" si="11"/>
        <v/>
      </c>
      <c r="O42" s="9" t="str">
        <f t="shared" si="12"/>
        <v/>
      </c>
      <c r="P42" s="9" t="str">
        <f t="shared" si="13"/>
        <v/>
      </c>
      <c r="Q42" s="9" t="str">
        <f t="shared" si="14"/>
        <v/>
      </c>
      <c r="R42" s="9" t="str">
        <f t="shared" si="15"/>
        <v/>
      </c>
      <c r="S42" s="9" t="str">
        <f t="shared" si="16"/>
        <v/>
      </c>
      <c r="T42" s="28" t="str">
        <f t="shared" si="17"/>
        <v/>
      </c>
      <c r="U42" s="25" t="str">
        <f t="shared" si="18"/>
        <v/>
      </c>
      <c r="V42" s="25" t="str">
        <f t="shared" si="19"/>
        <v/>
      </c>
      <c r="W42" s="30" t="str">
        <f t="shared" si="20"/>
        <v/>
      </c>
    </row>
    <row r="43" spans="1:23" x14ac:dyDescent="0.4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9" t="str">
        <f t="shared" si="11"/>
        <v/>
      </c>
      <c r="O43" s="9" t="str">
        <f t="shared" si="12"/>
        <v/>
      </c>
      <c r="P43" s="9" t="str">
        <f t="shared" si="13"/>
        <v/>
      </c>
      <c r="Q43" s="9" t="str">
        <f t="shared" si="14"/>
        <v/>
      </c>
      <c r="R43" s="9" t="str">
        <f t="shared" si="15"/>
        <v/>
      </c>
      <c r="S43" s="9" t="str">
        <f t="shared" si="16"/>
        <v/>
      </c>
      <c r="T43" s="28" t="str">
        <f t="shared" si="17"/>
        <v/>
      </c>
      <c r="U43" s="25" t="str">
        <f t="shared" si="18"/>
        <v/>
      </c>
      <c r="V43" s="25" t="str">
        <f t="shared" si="19"/>
        <v/>
      </c>
      <c r="W43" s="30" t="str">
        <f t="shared" si="20"/>
        <v/>
      </c>
    </row>
    <row r="44" spans="1:23" x14ac:dyDescent="0.4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9" t="str">
        <f t="shared" si="11"/>
        <v/>
      </c>
      <c r="O44" s="9" t="str">
        <f t="shared" si="12"/>
        <v/>
      </c>
      <c r="P44" s="9" t="str">
        <f t="shared" si="13"/>
        <v/>
      </c>
      <c r="Q44" s="9" t="str">
        <f t="shared" si="14"/>
        <v/>
      </c>
      <c r="R44" s="9" t="str">
        <f t="shared" si="15"/>
        <v/>
      </c>
      <c r="S44" s="9" t="str">
        <f t="shared" si="16"/>
        <v/>
      </c>
      <c r="T44" s="28" t="str">
        <f t="shared" si="17"/>
        <v/>
      </c>
      <c r="U44" s="25" t="str">
        <f t="shared" si="18"/>
        <v/>
      </c>
      <c r="V44" s="25" t="str">
        <f t="shared" si="19"/>
        <v/>
      </c>
      <c r="W44" s="30" t="str">
        <f t="shared" si="20"/>
        <v/>
      </c>
    </row>
    <row r="45" spans="1:23" x14ac:dyDescent="0.4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9" t="str">
        <f t="shared" si="11"/>
        <v/>
      </c>
      <c r="O45" s="9" t="str">
        <f t="shared" si="12"/>
        <v/>
      </c>
      <c r="P45" s="9" t="str">
        <f t="shared" si="13"/>
        <v/>
      </c>
      <c r="Q45" s="9" t="str">
        <f t="shared" si="14"/>
        <v/>
      </c>
      <c r="R45" s="9" t="str">
        <f t="shared" si="15"/>
        <v/>
      </c>
      <c r="S45" s="9" t="str">
        <f t="shared" si="16"/>
        <v/>
      </c>
      <c r="T45" s="28" t="str">
        <f t="shared" si="17"/>
        <v/>
      </c>
      <c r="U45" s="25" t="str">
        <f t="shared" si="18"/>
        <v/>
      </c>
      <c r="V45" s="25" t="str">
        <f t="shared" si="19"/>
        <v/>
      </c>
      <c r="W45" s="30" t="str">
        <f t="shared" si="20"/>
        <v/>
      </c>
    </row>
    <row r="46" spans="1:23" x14ac:dyDescent="0.4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9" t="str">
        <f t="shared" si="11"/>
        <v/>
      </c>
      <c r="O46" s="9" t="str">
        <f t="shared" si="12"/>
        <v/>
      </c>
      <c r="P46" s="9" t="str">
        <f t="shared" si="13"/>
        <v/>
      </c>
      <c r="Q46" s="9" t="str">
        <f t="shared" si="14"/>
        <v/>
      </c>
      <c r="R46" s="9" t="str">
        <f t="shared" si="15"/>
        <v/>
      </c>
      <c r="S46" s="9" t="str">
        <f t="shared" si="16"/>
        <v/>
      </c>
      <c r="T46" s="28" t="str">
        <f t="shared" si="17"/>
        <v/>
      </c>
      <c r="U46" s="25" t="str">
        <f t="shared" si="18"/>
        <v/>
      </c>
      <c r="V46" s="25" t="str">
        <f t="shared" si="19"/>
        <v/>
      </c>
      <c r="W46" s="30" t="str">
        <f t="shared" si="20"/>
        <v/>
      </c>
    </row>
    <row r="47" spans="1:23" x14ac:dyDescent="0.4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9" t="str">
        <f t="shared" si="11"/>
        <v/>
      </c>
      <c r="O47" s="9" t="str">
        <f t="shared" si="12"/>
        <v/>
      </c>
      <c r="P47" s="9" t="str">
        <f t="shared" si="13"/>
        <v/>
      </c>
      <c r="Q47" s="9" t="str">
        <f t="shared" si="14"/>
        <v/>
      </c>
      <c r="R47" s="9" t="str">
        <f t="shared" si="15"/>
        <v/>
      </c>
      <c r="S47" s="9" t="str">
        <f t="shared" si="16"/>
        <v/>
      </c>
      <c r="T47" s="28" t="str">
        <f t="shared" si="17"/>
        <v/>
      </c>
      <c r="U47" s="25" t="str">
        <f t="shared" si="18"/>
        <v/>
      </c>
      <c r="V47" s="25" t="str">
        <f t="shared" si="19"/>
        <v/>
      </c>
      <c r="W47" s="30" t="str">
        <f t="shared" si="20"/>
        <v/>
      </c>
    </row>
    <row r="48" spans="1:23" x14ac:dyDescent="0.4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9" t="str">
        <f t="shared" si="11"/>
        <v/>
      </c>
      <c r="O48" s="9" t="str">
        <f t="shared" si="12"/>
        <v/>
      </c>
      <c r="P48" s="9" t="str">
        <f t="shared" si="13"/>
        <v/>
      </c>
      <c r="Q48" s="9" t="str">
        <f t="shared" si="14"/>
        <v/>
      </c>
      <c r="R48" s="9" t="str">
        <f t="shared" si="15"/>
        <v/>
      </c>
      <c r="S48" s="9" t="str">
        <f t="shared" si="16"/>
        <v/>
      </c>
      <c r="T48" s="28" t="str">
        <f t="shared" si="17"/>
        <v/>
      </c>
      <c r="U48" s="25" t="str">
        <f t="shared" si="18"/>
        <v/>
      </c>
      <c r="V48" s="25" t="str">
        <f t="shared" si="19"/>
        <v/>
      </c>
      <c r="W48" s="30" t="str">
        <f t="shared" si="20"/>
        <v/>
      </c>
    </row>
    <row r="49" spans="1:23" x14ac:dyDescent="0.4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9" t="str">
        <f t="shared" si="11"/>
        <v/>
      </c>
      <c r="O49" s="9" t="str">
        <f t="shared" si="12"/>
        <v/>
      </c>
      <c r="P49" s="9" t="str">
        <f t="shared" si="13"/>
        <v/>
      </c>
      <c r="Q49" s="9" t="str">
        <f t="shared" si="14"/>
        <v/>
      </c>
      <c r="R49" s="9" t="str">
        <f t="shared" si="15"/>
        <v/>
      </c>
      <c r="S49" s="9" t="str">
        <f t="shared" si="16"/>
        <v/>
      </c>
      <c r="T49" s="28" t="str">
        <f t="shared" si="17"/>
        <v/>
      </c>
      <c r="U49" s="25" t="str">
        <f t="shared" si="18"/>
        <v/>
      </c>
      <c r="V49" s="25" t="str">
        <f t="shared" si="19"/>
        <v/>
      </c>
      <c r="W49" s="30" t="str">
        <f t="shared" si="20"/>
        <v/>
      </c>
    </row>
    <row r="50" spans="1:23" x14ac:dyDescent="0.4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9" t="str">
        <f t="shared" si="11"/>
        <v/>
      </c>
      <c r="O50" s="9" t="str">
        <f t="shared" si="12"/>
        <v/>
      </c>
      <c r="P50" s="9" t="str">
        <f t="shared" si="13"/>
        <v/>
      </c>
      <c r="Q50" s="9" t="str">
        <f t="shared" si="14"/>
        <v/>
      </c>
      <c r="R50" s="9" t="str">
        <f t="shared" si="15"/>
        <v/>
      </c>
      <c r="S50" s="9" t="str">
        <f t="shared" si="16"/>
        <v/>
      </c>
      <c r="T50" s="28" t="str">
        <f t="shared" si="17"/>
        <v/>
      </c>
      <c r="U50" s="25" t="str">
        <f t="shared" si="18"/>
        <v/>
      </c>
      <c r="V50" s="25" t="str">
        <f t="shared" si="19"/>
        <v/>
      </c>
      <c r="W50" s="30" t="str">
        <f t="shared" si="20"/>
        <v/>
      </c>
    </row>
    <row r="51" spans="1:23" x14ac:dyDescent="0.4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9" t="str">
        <f t="shared" si="11"/>
        <v/>
      </c>
      <c r="O51" s="9" t="str">
        <f t="shared" si="12"/>
        <v/>
      </c>
      <c r="P51" s="9" t="str">
        <f t="shared" si="13"/>
        <v/>
      </c>
      <c r="Q51" s="9" t="str">
        <f t="shared" si="14"/>
        <v/>
      </c>
      <c r="R51" s="9" t="str">
        <f t="shared" si="15"/>
        <v/>
      </c>
      <c r="S51" s="9" t="str">
        <f t="shared" si="16"/>
        <v/>
      </c>
      <c r="T51" s="28" t="str">
        <f t="shared" si="17"/>
        <v/>
      </c>
      <c r="U51" s="25" t="str">
        <f t="shared" si="18"/>
        <v/>
      </c>
      <c r="V51" s="25" t="str">
        <f t="shared" si="19"/>
        <v/>
      </c>
      <c r="W51" s="30" t="str">
        <f t="shared" si="20"/>
        <v/>
      </c>
    </row>
    <row r="52" spans="1:23" x14ac:dyDescent="0.4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9" t="str">
        <f t="shared" si="11"/>
        <v/>
      </c>
      <c r="O52" s="9" t="str">
        <f t="shared" si="12"/>
        <v/>
      </c>
      <c r="P52" s="9" t="str">
        <f t="shared" si="13"/>
        <v/>
      </c>
      <c r="Q52" s="9" t="str">
        <f t="shared" si="14"/>
        <v/>
      </c>
      <c r="R52" s="9" t="str">
        <f t="shared" si="15"/>
        <v/>
      </c>
      <c r="S52" s="9" t="str">
        <f t="shared" si="16"/>
        <v/>
      </c>
      <c r="T52" s="28" t="str">
        <f t="shared" si="17"/>
        <v/>
      </c>
      <c r="U52" s="25" t="str">
        <f t="shared" si="18"/>
        <v/>
      </c>
      <c r="V52" s="25" t="str">
        <f t="shared" si="19"/>
        <v/>
      </c>
      <c r="W52" s="30" t="str">
        <f t="shared" si="20"/>
        <v/>
      </c>
    </row>
    <row r="53" spans="1:23" x14ac:dyDescent="0.4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9" t="str">
        <f t="shared" si="11"/>
        <v/>
      </c>
      <c r="O53" s="9" t="str">
        <f t="shared" si="12"/>
        <v/>
      </c>
      <c r="P53" s="9" t="str">
        <f t="shared" si="13"/>
        <v/>
      </c>
      <c r="Q53" s="9" t="str">
        <f t="shared" si="14"/>
        <v/>
      </c>
      <c r="R53" s="9" t="str">
        <f t="shared" si="15"/>
        <v/>
      </c>
      <c r="S53" s="9" t="str">
        <f t="shared" si="16"/>
        <v/>
      </c>
      <c r="T53" s="28" t="str">
        <f t="shared" si="17"/>
        <v/>
      </c>
      <c r="U53" s="25" t="str">
        <f t="shared" si="18"/>
        <v/>
      </c>
      <c r="V53" s="25" t="str">
        <f t="shared" si="19"/>
        <v/>
      </c>
      <c r="W53" s="30" t="str">
        <f t="shared" si="20"/>
        <v/>
      </c>
    </row>
    <row r="54" spans="1:23" x14ac:dyDescent="0.4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9" t="str">
        <f t="shared" si="11"/>
        <v/>
      </c>
      <c r="O54" s="9" t="str">
        <f t="shared" si="12"/>
        <v/>
      </c>
      <c r="P54" s="9" t="str">
        <f t="shared" si="13"/>
        <v/>
      </c>
      <c r="Q54" s="9" t="str">
        <f t="shared" si="14"/>
        <v/>
      </c>
      <c r="R54" s="9" t="str">
        <f t="shared" si="15"/>
        <v/>
      </c>
      <c r="S54" s="9" t="str">
        <f t="shared" si="16"/>
        <v/>
      </c>
      <c r="T54" s="28" t="str">
        <f t="shared" si="17"/>
        <v/>
      </c>
      <c r="U54" s="25" t="str">
        <f t="shared" si="18"/>
        <v/>
      </c>
      <c r="V54" s="25" t="str">
        <f t="shared" si="19"/>
        <v/>
      </c>
      <c r="W54" s="30" t="str">
        <f t="shared" si="20"/>
        <v/>
      </c>
    </row>
    <row r="55" spans="1:23" x14ac:dyDescent="0.4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9" t="str">
        <f t="shared" si="11"/>
        <v/>
      </c>
      <c r="O55" s="9" t="str">
        <f t="shared" si="12"/>
        <v/>
      </c>
      <c r="P55" s="9" t="str">
        <f t="shared" si="13"/>
        <v/>
      </c>
      <c r="Q55" s="9" t="str">
        <f t="shared" si="14"/>
        <v/>
      </c>
      <c r="R55" s="9" t="str">
        <f t="shared" si="15"/>
        <v/>
      </c>
      <c r="S55" s="9" t="str">
        <f t="shared" si="16"/>
        <v/>
      </c>
      <c r="T55" s="28" t="str">
        <f t="shared" si="17"/>
        <v/>
      </c>
      <c r="U55" s="25" t="str">
        <f t="shared" si="18"/>
        <v/>
      </c>
      <c r="V55" s="25" t="str">
        <f t="shared" si="19"/>
        <v/>
      </c>
      <c r="W55" s="30" t="str">
        <f t="shared" si="20"/>
        <v/>
      </c>
    </row>
    <row r="56" spans="1:23" x14ac:dyDescent="0.4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9" t="str">
        <f t="shared" si="11"/>
        <v/>
      </c>
      <c r="O56" s="9" t="str">
        <f t="shared" si="12"/>
        <v/>
      </c>
      <c r="P56" s="9" t="str">
        <f t="shared" si="13"/>
        <v/>
      </c>
      <c r="Q56" s="9" t="str">
        <f t="shared" si="14"/>
        <v/>
      </c>
      <c r="R56" s="9" t="str">
        <f t="shared" si="15"/>
        <v/>
      </c>
      <c r="S56" s="9" t="str">
        <f t="shared" si="16"/>
        <v/>
      </c>
      <c r="T56" s="28" t="str">
        <f t="shared" si="17"/>
        <v/>
      </c>
      <c r="U56" s="25" t="str">
        <f t="shared" si="18"/>
        <v/>
      </c>
      <c r="V56" s="25" t="str">
        <f t="shared" si="19"/>
        <v/>
      </c>
      <c r="W56" s="30" t="str">
        <f t="shared" si="20"/>
        <v/>
      </c>
    </row>
    <row r="57" spans="1:23" x14ac:dyDescent="0.4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9" t="str">
        <f t="shared" si="11"/>
        <v/>
      </c>
      <c r="O57" s="9" t="str">
        <f t="shared" si="12"/>
        <v/>
      </c>
      <c r="P57" s="9" t="str">
        <f t="shared" si="13"/>
        <v/>
      </c>
      <c r="Q57" s="9" t="str">
        <f t="shared" si="14"/>
        <v/>
      </c>
      <c r="R57" s="9" t="str">
        <f t="shared" si="15"/>
        <v/>
      </c>
      <c r="S57" s="9" t="str">
        <f t="shared" si="16"/>
        <v/>
      </c>
      <c r="T57" s="28" t="str">
        <f t="shared" si="17"/>
        <v/>
      </c>
      <c r="U57" s="25" t="str">
        <f t="shared" si="18"/>
        <v/>
      </c>
      <c r="V57" s="25" t="str">
        <f t="shared" si="19"/>
        <v/>
      </c>
      <c r="W57" s="30" t="str">
        <f t="shared" si="20"/>
        <v/>
      </c>
    </row>
    <row r="58" spans="1:23" x14ac:dyDescent="0.4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9" t="str">
        <f t="shared" si="11"/>
        <v/>
      </c>
      <c r="O58" s="9" t="str">
        <f t="shared" si="12"/>
        <v/>
      </c>
      <c r="P58" s="9" t="str">
        <f t="shared" si="13"/>
        <v/>
      </c>
      <c r="Q58" s="9" t="str">
        <f t="shared" si="14"/>
        <v/>
      </c>
      <c r="R58" s="9" t="str">
        <f t="shared" si="15"/>
        <v/>
      </c>
      <c r="S58" s="9" t="str">
        <f t="shared" si="16"/>
        <v/>
      </c>
      <c r="T58" s="28" t="str">
        <f t="shared" si="17"/>
        <v/>
      </c>
      <c r="U58" s="25" t="str">
        <f t="shared" si="18"/>
        <v/>
      </c>
      <c r="V58" s="25" t="str">
        <f t="shared" si="19"/>
        <v/>
      </c>
      <c r="W58" s="30" t="str">
        <f t="shared" si="20"/>
        <v/>
      </c>
    </row>
    <row r="59" spans="1:23" x14ac:dyDescent="0.4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9" t="str">
        <f t="shared" si="11"/>
        <v/>
      </c>
      <c r="O59" s="9" t="str">
        <f t="shared" si="12"/>
        <v/>
      </c>
      <c r="P59" s="9" t="str">
        <f t="shared" si="13"/>
        <v/>
      </c>
      <c r="Q59" s="9" t="str">
        <f t="shared" si="14"/>
        <v/>
      </c>
      <c r="R59" s="9" t="str">
        <f t="shared" si="15"/>
        <v/>
      </c>
      <c r="S59" s="9" t="str">
        <f t="shared" si="16"/>
        <v/>
      </c>
      <c r="T59" s="28" t="str">
        <f t="shared" si="17"/>
        <v/>
      </c>
      <c r="U59" s="25" t="str">
        <f t="shared" si="18"/>
        <v/>
      </c>
      <c r="V59" s="25" t="str">
        <f t="shared" si="19"/>
        <v/>
      </c>
      <c r="W59" s="30" t="str">
        <f t="shared" si="20"/>
        <v/>
      </c>
    </row>
    <row r="60" spans="1:23" x14ac:dyDescent="0.4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9" t="str">
        <f t="shared" si="11"/>
        <v/>
      </c>
      <c r="O60" s="9" t="str">
        <f t="shared" si="12"/>
        <v/>
      </c>
      <c r="P60" s="9" t="str">
        <f t="shared" si="13"/>
        <v/>
      </c>
      <c r="Q60" s="9" t="str">
        <f t="shared" si="14"/>
        <v/>
      </c>
      <c r="R60" s="9" t="str">
        <f t="shared" si="15"/>
        <v/>
      </c>
      <c r="S60" s="9" t="str">
        <f t="shared" si="16"/>
        <v/>
      </c>
      <c r="T60" s="28" t="str">
        <f t="shared" si="17"/>
        <v/>
      </c>
      <c r="U60" s="25" t="str">
        <f t="shared" si="18"/>
        <v/>
      </c>
      <c r="V60" s="25" t="str">
        <f t="shared" si="19"/>
        <v/>
      </c>
      <c r="W60" s="30" t="str">
        <f t="shared" si="20"/>
        <v/>
      </c>
    </row>
    <row r="61" spans="1:23" x14ac:dyDescent="0.4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9" t="str">
        <f t="shared" si="11"/>
        <v/>
      </c>
      <c r="O61" s="9" t="str">
        <f t="shared" si="12"/>
        <v/>
      </c>
      <c r="P61" s="9" t="str">
        <f t="shared" si="13"/>
        <v/>
      </c>
      <c r="Q61" s="9" t="str">
        <f t="shared" si="14"/>
        <v/>
      </c>
      <c r="R61" s="9" t="str">
        <f t="shared" si="15"/>
        <v/>
      </c>
      <c r="S61" s="9" t="str">
        <f t="shared" si="16"/>
        <v/>
      </c>
      <c r="T61" s="28" t="str">
        <f t="shared" si="17"/>
        <v/>
      </c>
      <c r="U61" s="25" t="str">
        <f t="shared" si="18"/>
        <v/>
      </c>
      <c r="V61" s="25" t="str">
        <f t="shared" si="19"/>
        <v/>
      </c>
      <c r="W61" s="30" t="str">
        <f t="shared" si="20"/>
        <v/>
      </c>
    </row>
    <row r="62" spans="1:23" x14ac:dyDescent="0.4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9" t="str">
        <f t="shared" si="11"/>
        <v/>
      </c>
      <c r="O62" s="9" t="str">
        <f t="shared" si="12"/>
        <v/>
      </c>
      <c r="P62" s="9" t="str">
        <f t="shared" si="13"/>
        <v/>
      </c>
      <c r="Q62" s="9" t="str">
        <f t="shared" si="14"/>
        <v/>
      </c>
      <c r="R62" s="9" t="str">
        <f t="shared" si="15"/>
        <v/>
      </c>
      <c r="S62" s="9" t="str">
        <f t="shared" si="16"/>
        <v/>
      </c>
      <c r="T62" s="28" t="str">
        <f t="shared" si="17"/>
        <v/>
      </c>
      <c r="U62" s="25" t="str">
        <f t="shared" si="18"/>
        <v/>
      </c>
      <c r="V62" s="25" t="str">
        <f t="shared" si="19"/>
        <v/>
      </c>
      <c r="W62" s="30" t="str">
        <f t="shared" si="20"/>
        <v/>
      </c>
    </row>
    <row r="63" spans="1:23" x14ac:dyDescent="0.4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9" t="str">
        <f t="shared" si="11"/>
        <v/>
      </c>
      <c r="O63" s="9" t="str">
        <f t="shared" si="12"/>
        <v/>
      </c>
      <c r="P63" s="9" t="str">
        <f t="shared" si="13"/>
        <v/>
      </c>
      <c r="Q63" s="9" t="str">
        <f t="shared" si="14"/>
        <v/>
      </c>
      <c r="R63" s="9" t="str">
        <f t="shared" si="15"/>
        <v/>
      </c>
      <c r="S63" s="9" t="str">
        <f t="shared" si="16"/>
        <v/>
      </c>
      <c r="T63" s="28" t="str">
        <f t="shared" si="17"/>
        <v/>
      </c>
      <c r="U63" s="25" t="str">
        <f t="shared" si="18"/>
        <v/>
      </c>
      <c r="V63" s="25" t="str">
        <f t="shared" si="19"/>
        <v/>
      </c>
      <c r="W63" s="30" t="str">
        <f t="shared" si="20"/>
        <v/>
      </c>
    </row>
    <row r="64" spans="1:23" x14ac:dyDescent="0.4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9" t="str">
        <f t="shared" si="11"/>
        <v/>
      </c>
      <c r="O64" s="9" t="str">
        <f t="shared" si="12"/>
        <v/>
      </c>
      <c r="P64" s="9" t="str">
        <f t="shared" si="13"/>
        <v/>
      </c>
      <c r="Q64" s="9" t="str">
        <f t="shared" si="14"/>
        <v/>
      </c>
      <c r="R64" s="9" t="str">
        <f t="shared" si="15"/>
        <v/>
      </c>
      <c r="S64" s="9" t="str">
        <f t="shared" si="16"/>
        <v/>
      </c>
      <c r="T64" s="28" t="str">
        <f t="shared" si="17"/>
        <v/>
      </c>
      <c r="U64" s="25" t="str">
        <f t="shared" si="18"/>
        <v/>
      </c>
      <c r="V64" s="25" t="str">
        <f t="shared" si="19"/>
        <v/>
      </c>
      <c r="W64" s="30" t="str">
        <f t="shared" si="20"/>
        <v/>
      </c>
    </row>
    <row r="65" spans="1:23" x14ac:dyDescent="0.4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9" t="str">
        <f t="shared" si="11"/>
        <v/>
      </c>
      <c r="O65" s="9" t="str">
        <f t="shared" si="12"/>
        <v/>
      </c>
      <c r="P65" s="9" t="str">
        <f t="shared" si="13"/>
        <v/>
      </c>
      <c r="Q65" s="9" t="str">
        <f t="shared" si="14"/>
        <v/>
      </c>
      <c r="R65" s="9" t="str">
        <f t="shared" si="15"/>
        <v/>
      </c>
      <c r="S65" s="9" t="str">
        <f t="shared" si="16"/>
        <v/>
      </c>
      <c r="T65" s="28" t="str">
        <f t="shared" si="17"/>
        <v/>
      </c>
      <c r="U65" s="25" t="str">
        <f t="shared" si="18"/>
        <v/>
      </c>
      <c r="V65" s="25" t="str">
        <f t="shared" si="19"/>
        <v/>
      </c>
      <c r="W65" s="30" t="str">
        <f t="shared" si="20"/>
        <v/>
      </c>
    </row>
    <row r="66" spans="1:23" x14ac:dyDescent="0.4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9" t="str">
        <f t="shared" si="11"/>
        <v/>
      </c>
      <c r="O66" s="9" t="str">
        <f t="shared" si="12"/>
        <v/>
      </c>
      <c r="P66" s="9" t="str">
        <f t="shared" si="13"/>
        <v/>
      </c>
      <c r="Q66" s="9" t="str">
        <f t="shared" si="14"/>
        <v/>
      </c>
      <c r="R66" s="9" t="str">
        <f t="shared" si="15"/>
        <v/>
      </c>
      <c r="S66" s="9" t="str">
        <f t="shared" si="16"/>
        <v/>
      </c>
      <c r="T66" s="28" t="str">
        <f t="shared" si="17"/>
        <v/>
      </c>
      <c r="U66" s="25" t="str">
        <f t="shared" si="18"/>
        <v/>
      </c>
      <c r="V66" s="25" t="str">
        <f t="shared" si="19"/>
        <v/>
      </c>
      <c r="W66" s="30" t="str">
        <f t="shared" si="20"/>
        <v/>
      </c>
    </row>
    <row r="67" spans="1:23" x14ac:dyDescent="0.4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9" t="str">
        <f t="shared" si="11"/>
        <v/>
      </c>
      <c r="O67" s="9" t="str">
        <f t="shared" si="12"/>
        <v/>
      </c>
      <c r="P67" s="9" t="str">
        <f t="shared" si="13"/>
        <v/>
      </c>
      <c r="Q67" s="9" t="str">
        <f t="shared" si="14"/>
        <v/>
      </c>
      <c r="R67" s="9" t="str">
        <f t="shared" si="15"/>
        <v/>
      </c>
      <c r="S67" s="9" t="str">
        <f t="shared" si="16"/>
        <v/>
      </c>
      <c r="T67" s="28" t="str">
        <f t="shared" si="17"/>
        <v/>
      </c>
      <c r="U67" s="25" t="str">
        <f t="shared" si="18"/>
        <v/>
      </c>
      <c r="V67" s="25" t="str">
        <f t="shared" si="19"/>
        <v/>
      </c>
      <c r="W67" s="30" t="str">
        <f t="shared" si="20"/>
        <v/>
      </c>
    </row>
    <row r="68" spans="1:23" x14ac:dyDescent="0.4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9" t="str">
        <f t="shared" si="11"/>
        <v/>
      </c>
      <c r="O68" s="9" t="str">
        <f t="shared" si="12"/>
        <v/>
      </c>
      <c r="P68" s="9" t="str">
        <f t="shared" si="13"/>
        <v/>
      </c>
      <c r="Q68" s="9" t="str">
        <f t="shared" si="14"/>
        <v/>
      </c>
      <c r="R68" s="9" t="str">
        <f t="shared" si="15"/>
        <v/>
      </c>
      <c r="S68" s="9" t="str">
        <f t="shared" si="16"/>
        <v/>
      </c>
      <c r="T68" s="28" t="str">
        <f t="shared" si="17"/>
        <v/>
      </c>
      <c r="U68" s="25" t="str">
        <f t="shared" si="18"/>
        <v/>
      </c>
      <c r="V68" s="25" t="str">
        <f t="shared" si="19"/>
        <v/>
      </c>
      <c r="W68" s="30" t="str">
        <f t="shared" si="20"/>
        <v/>
      </c>
    </row>
    <row r="69" spans="1:23" x14ac:dyDescent="0.4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9" t="str">
        <f t="shared" si="11"/>
        <v/>
      </c>
      <c r="O69" s="9" t="str">
        <f t="shared" si="12"/>
        <v/>
      </c>
      <c r="P69" s="9" t="str">
        <f t="shared" si="13"/>
        <v/>
      </c>
      <c r="Q69" s="9" t="str">
        <f t="shared" si="14"/>
        <v/>
      </c>
      <c r="R69" s="9" t="str">
        <f t="shared" si="15"/>
        <v/>
      </c>
      <c r="S69" s="9" t="str">
        <f t="shared" si="16"/>
        <v/>
      </c>
      <c r="T69" s="28" t="str">
        <f t="shared" si="17"/>
        <v/>
      </c>
      <c r="U69" s="25" t="str">
        <f t="shared" si="18"/>
        <v/>
      </c>
      <c r="V69" s="25" t="str">
        <f t="shared" si="19"/>
        <v/>
      </c>
      <c r="W69" s="30" t="str">
        <f t="shared" si="20"/>
        <v/>
      </c>
    </row>
    <row r="70" spans="1:23" x14ac:dyDescent="0.4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9" t="str">
        <f t="shared" si="11"/>
        <v/>
      </c>
      <c r="O70" s="9" t="str">
        <f t="shared" si="12"/>
        <v/>
      </c>
      <c r="P70" s="9" t="str">
        <f t="shared" si="13"/>
        <v/>
      </c>
      <c r="Q70" s="9" t="str">
        <f t="shared" si="14"/>
        <v/>
      </c>
      <c r="R70" s="9" t="str">
        <f t="shared" si="15"/>
        <v/>
      </c>
      <c r="S70" s="9" t="str">
        <f t="shared" si="16"/>
        <v/>
      </c>
      <c r="T70" s="28" t="str">
        <f t="shared" si="17"/>
        <v/>
      </c>
      <c r="U70" s="25" t="str">
        <f t="shared" si="18"/>
        <v/>
      </c>
      <c r="V70" s="25" t="str">
        <f t="shared" si="19"/>
        <v/>
      </c>
      <c r="W70" s="30" t="str">
        <f t="shared" si="20"/>
        <v/>
      </c>
    </row>
    <row r="71" spans="1:23" x14ac:dyDescent="0.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9" t="str">
        <f t="shared" ref="N71:N106" si="21">IF($D71="","",$D71*IF($E71="",100,$E71)/100*IF(G71="",INDEX(tipos_luz,IFERROR(MATCH($F71,tipos_n,0),1)),G71)/1000)</f>
        <v/>
      </c>
      <c r="O71" s="9" t="str">
        <f t="shared" ref="O71:O106" si="22">IF($D71="","",$D71*IF($E71="",100,$E71)/100*IF(H71="",INDEX(tipos_ups,IFERROR(MATCH($F71,tipos_n,0),1)),H71)/1000)</f>
        <v/>
      </c>
      <c r="P71" s="9" t="str">
        <f t="shared" ref="P71:P106" si="23">IF($D71="","",$D71*IF($E71="",100,$E71)/100*IF(I71="",INDEX(tipos_rec,IFERROR(MATCH($F71,tipos_n,0),1)),I71)/1000)</f>
        <v/>
      </c>
      <c r="Q71" s="9" t="str">
        <f t="shared" ref="Q71:Q106" si="24">IF($D71="","",$D71*IF($E71="",100,$E71)/100*IF(J71="",INDEX(tipos_hvac,IFERROR(MATCH($F71,tipos_n,0),1)),J71)/1000)</f>
        <v/>
      </c>
      <c r="R71" s="9" t="str">
        <f t="shared" ref="R71:R106" si="25">IF($D71="","",N(K71)/1000)</f>
        <v/>
      </c>
      <c r="S71" s="9" t="str">
        <f t="shared" ref="S71:S106" si="26">IF($D71="","",N(L71)/1000)</f>
        <v/>
      </c>
      <c r="T71" s="28" t="str">
        <f t="shared" ref="T71:T102" si="27">IF($D71="","",SUM(N71:S71))</f>
        <v/>
      </c>
      <c r="U71" s="25" t="str">
        <f t="shared" ref="U71:U102" si="28">IF($D71="","",T71*1000/(p_vUnit*IF(p_fases=3,SQRT(3),1)))</f>
        <v/>
      </c>
      <c r="V71" s="25" t="str">
        <f t="shared" ref="V71:V102" si="29">IF($D71="","",U71*p_protFactor)</f>
        <v/>
      </c>
      <c r="W71" s="30" t="str">
        <f t="shared" ref="W71:W102" si="30">IF($D71="","",IFERROR(MAX(p_minBreaker,INDEX(brk_list,SUMPRODUCT(--(brk_list&lt;V71-0.000000001))+1)),"excede"))</f>
        <v/>
      </c>
    </row>
    <row r="72" spans="1:23" x14ac:dyDescent="0.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9" t="str">
        <f t="shared" si="21"/>
        <v/>
      </c>
      <c r="O72" s="9" t="str">
        <f t="shared" si="22"/>
        <v/>
      </c>
      <c r="P72" s="9" t="str">
        <f t="shared" si="23"/>
        <v/>
      </c>
      <c r="Q72" s="9" t="str">
        <f t="shared" si="24"/>
        <v/>
      </c>
      <c r="R72" s="9" t="str">
        <f t="shared" si="25"/>
        <v/>
      </c>
      <c r="S72" s="9" t="str">
        <f t="shared" si="26"/>
        <v/>
      </c>
      <c r="T72" s="28" t="str">
        <f t="shared" si="27"/>
        <v/>
      </c>
      <c r="U72" s="25" t="str">
        <f t="shared" si="28"/>
        <v/>
      </c>
      <c r="V72" s="25" t="str">
        <f t="shared" si="29"/>
        <v/>
      </c>
      <c r="W72" s="30" t="str">
        <f t="shared" si="30"/>
        <v/>
      </c>
    </row>
    <row r="73" spans="1:23" x14ac:dyDescent="0.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9" t="str">
        <f t="shared" si="21"/>
        <v/>
      </c>
      <c r="O73" s="9" t="str">
        <f t="shared" si="22"/>
        <v/>
      </c>
      <c r="P73" s="9" t="str">
        <f t="shared" si="23"/>
        <v/>
      </c>
      <c r="Q73" s="9" t="str">
        <f t="shared" si="24"/>
        <v/>
      </c>
      <c r="R73" s="9" t="str">
        <f t="shared" si="25"/>
        <v/>
      </c>
      <c r="S73" s="9" t="str">
        <f t="shared" si="26"/>
        <v/>
      </c>
      <c r="T73" s="28" t="str">
        <f t="shared" si="27"/>
        <v/>
      </c>
      <c r="U73" s="25" t="str">
        <f t="shared" si="28"/>
        <v/>
      </c>
      <c r="V73" s="25" t="str">
        <f t="shared" si="29"/>
        <v/>
      </c>
      <c r="W73" s="30" t="str">
        <f t="shared" si="30"/>
        <v/>
      </c>
    </row>
    <row r="74" spans="1:23" x14ac:dyDescent="0.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9" t="str">
        <f t="shared" si="21"/>
        <v/>
      </c>
      <c r="O74" s="9" t="str">
        <f t="shared" si="22"/>
        <v/>
      </c>
      <c r="P74" s="9" t="str">
        <f t="shared" si="23"/>
        <v/>
      </c>
      <c r="Q74" s="9" t="str">
        <f t="shared" si="24"/>
        <v/>
      </c>
      <c r="R74" s="9" t="str">
        <f t="shared" si="25"/>
        <v/>
      </c>
      <c r="S74" s="9" t="str">
        <f t="shared" si="26"/>
        <v/>
      </c>
      <c r="T74" s="28" t="str">
        <f t="shared" si="27"/>
        <v/>
      </c>
      <c r="U74" s="25" t="str">
        <f t="shared" si="28"/>
        <v/>
      </c>
      <c r="V74" s="25" t="str">
        <f t="shared" si="29"/>
        <v/>
      </c>
      <c r="W74" s="30" t="str">
        <f t="shared" si="30"/>
        <v/>
      </c>
    </row>
    <row r="75" spans="1:23" x14ac:dyDescent="0.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9" t="str">
        <f t="shared" si="21"/>
        <v/>
      </c>
      <c r="O75" s="9" t="str">
        <f t="shared" si="22"/>
        <v/>
      </c>
      <c r="P75" s="9" t="str">
        <f t="shared" si="23"/>
        <v/>
      </c>
      <c r="Q75" s="9" t="str">
        <f t="shared" si="24"/>
        <v/>
      </c>
      <c r="R75" s="9" t="str">
        <f t="shared" si="25"/>
        <v/>
      </c>
      <c r="S75" s="9" t="str">
        <f t="shared" si="26"/>
        <v/>
      </c>
      <c r="T75" s="28" t="str">
        <f t="shared" si="27"/>
        <v/>
      </c>
      <c r="U75" s="25" t="str">
        <f t="shared" si="28"/>
        <v/>
      </c>
      <c r="V75" s="25" t="str">
        <f t="shared" si="29"/>
        <v/>
      </c>
      <c r="W75" s="30" t="str">
        <f t="shared" si="30"/>
        <v/>
      </c>
    </row>
    <row r="76" spans="1:23" x14ac:dyDescent="0.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9" t="str">
        <f t="shared" si="21"/>
        <v/>
      </c>
      <c r="O76" s="9" t="str">
        <f t="shared" si="22"/>
        <v/>
      </c>
      <c r="P76" s="9" t="str">
        <f t="shared" si="23"/>
        <v/>
      </c>
      <c r="Q76" s="9" t="str">
        <f t="shared" si="24"/>
        <v/>
      </c>
      <c r="R76" s="9" t="str">
        <f t="shared" si="25"/>
        <v/>
      </c>
      <c r="S76" s="9" t="str">
        <f t="shared" si="26"/>
        <v/>
      </c>
      <c r="T76" s="28" t="str">
        <f t="shared" si="27"/>
        <v/>
      </c>
      <c r="U76" s="25" t="str">
        <f t="shared" si="28"/>
        <v/>
      </c>
      <c r="V76" s="25" t="str">
        <f t="shared" si="29"/>
        <v/>
      </c>
      <c r="W76" s="30" t="str">
        <f t="shared" si="30"/>
        <v/>
      </c>
    </row>
    <row r="77" spans="1:23" x14ac:dyDescent="0.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9" t="str">
        <f t="shared" si="21"/>
        <v/>
      </c>
      <c r="O77" s="9" t="str">
        <f t="shared" si="22"/>
        <v/>
      </c>
      <c r="P77" s="9" t="str">
        <f t="shared" si="23"/>
        <v/>
      </c>
      <c r="Q77" s="9" t="str">
        <f t="shared" si="24"/>
        <v/>
      </c>
      <c r="R77" s="9" t="str">
        <f t="shared" si="25"/>
        <v/>
      </c>
      <c r="S77" s="9" t="str">
        <f t="shared" si="26"/>
        <v/>
      </c>
      <c r="T77" s="28" t="str">
        <f t="shared" si="27"/>
        <v/>
      </c>
      <c r="U77" s="25" t="str">
        <f t="shared" si="28"/>
        <v/>
      </c>
      <c r="V77" s="25" t="str">
        <f t="shared" si="29"/>
        <v/>
      </c>
      <c r="W77" s="30" t="str">
        <f t="shared" si="30"/>
        <v/>
      </c>
    </row>
    <row r="78" spans="1:23" x14ac:dyDescent="0.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9" t="str">
        <f t="shared" si="21"/>
        <v/>
      </c>
      <c r="O78" s="9" t="str">
        <f t="shared" si="22"/>
        <v/>
      </c>
      <c r="P78" s="9" t="str">
        <f t="shared" si="23"/>
        <v/>
      </c>
      <c r="Q78" s="9" t="str">
        <f t="shared" si="24"/>
        <v/>
      </c>
      <c r="R78" s="9" t="str">
        <f t="shared" si="25"/>
        <v/>
      </c>
      <c r="S78" s="9" t="str">
        <f t="shared" si="26"/>
        <v/>
      </c>
      <c r="T78" s="28" t="str">
        <f t="shared" si="27"/>
        <v/>
      </c>
      <c r="U78" s="25" t="str">
        <f t="shared" si="28"/>
        <v/>
      </c>
      <c r="V78" s="25" t="str">
        <f t="shared" si="29"/>
        <v/>
      </c>
      <c r="W78" s="30" t="str">
        <f t="shared" si="30"/>
        <v/>
      </c>
    </row>
    <row r="79" spans="1:23" x14ac:dyDescent="0.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9" t="str">
        <f t="shared" si="21"/>
        <v/>
      </c>
      <c r="O79" s="9" t="str">
        <f t="shared" si="22"/>
        <v/>
      </c>
      <c r="P79" s="9" t="str">
        <f t="shared" si="23"/>
        <v/>
      </c>
      <c r="Q79" s="9" t="str">
        <f t="shared" si="24"/>
        <v/>
      </c>
      <c r="R79" s="9" t="str">
        <f t="shared" si="25"/>
        <v/>
      </c>
      <c r="S79" s="9" t="str">
        <f t="shared" si="26"/>
        <v/>
      </c>
      <c r="T79" s="28" t="str">
        <f t="shared" si="27"/>
        <v/>
      </c>
      <c r="U79" s="25" t="str">
        <f t="shared" si="28"/>
        <v/>
      </c>
      <c r="V79" s="25" t="str">
        <f t="shared" si="29"/>
        <v/>
      </c>
      <c r="W79" s="30" t="str">
        <f t="shared" si="30"/>
        <v/>
      </c>
    </row>
    <row r="80" spans="1:23" x14ac:dyDescent="0.4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9" t="str">
        <f t="shared" si="21"/>
        <v/>
      </c>
      <c r="O80" s="9" t="str">
        <f t="shared" si="22"/>
        <v/>
      </c>
      <c r="P80" s="9" t="str">
        <f t="shared" si="23"/>
        <v/>
      </c>
      <c r="Q80" s="9" t="str">
        <f t="shared" si="24"/>
        <v/>
      </c>
      <c r="R80" s="9" t="str">
        <f t="shared" si="25"/>
        <v/>
      </c>
      <c r="S80" s="9" t="str">
        <f t="shared" si="26"/>
        <v/>
      </c>
      <c r="T80" s="28" t="str">
        <f t="shared" si="27"/>
        <v/>
      </c>
      <c r="U80" s="25" t="str">
        <f t="shared" si="28"/>
        <v/>
      </c>
      <c r="V80" s="25" t="str">
        <f t="shared" si="29"/>
        <v/>
      </c>
      <c r="W80" s="30" t="str">
        <f t="shared" si="30"/>
        <v/>
      </c>
    </row>
    <row r="81" spans="1:23" x14ac:dyDescent="0.4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9" t="str">
        <f t="shared" si="21"/>
        <v/>
      </c>
      <c r="O81" s="9" t="str">
        <f t="shared" si="22"/>
        <v/>
      </c>
      <c r="P81" s="9" t="str">
        <f t="shared" si="23"/>
        <v/>
      </c>
      <c r="Q81" s="9" t="str">
        <f t="shared" si="24"/>
        <v/>
      </c>
      <c r="R81" s="9" t="str">
        <f t="shared" si="25"/>
        <v/>
      </c>
      <c r="S81" s="9" t="str">
        <f t="shared" si="26"/>
        <v/>
      </c>
      <c r="T81" s="28" t="str">
        <f t="shared" si="27"/>
        <v/>
      </c>
      <c r="U81" s="25" t="str">
        <f t="shared" si="28"/>
        <v/>
      </c>
      <c r="V81" s="25" t="str">
        <f t="shared" si="29"/>
        <v/>
      </c>
      <c r="W81" s="30" t="str">
        <f t="shared" si="30"/>
        <v/>
      </c>
    </row>
    <row r="82" spans="1:23" x14ac:dyDescent="0.4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9" t="str">
        <f t="shared" si="21"/>
        <v/>
      </c>
      <c r="O82" s="9" t="str">
        <f t="shared" si="22"/>
        <v/>
      </c>
      <c r="P82" s="9" t="str">
        <f t="shared" si="23"/>
        <v/>
      </c>
      <c r="Q82" s="9" t="str">
        <f t="shared" si="24"/>
        <v/>
      </c>
      <c r="R82" s="9" t="str">
        <f t="shared" si="25"/>
        <v/>
      </c>
      <c r="S82" s="9" t="str">
        <f t="shared" si="26"/>
        <v/>
      </c>
      <c r="T82" s="28" t="str">
        <f t="shared" si="27"/>
        <v/>
      </c>
      <c r="U82" s="25" t="str">
        <f t="shared" si="28"/>
        <v/>
      </c>
      <c r="V82" s="25" t="str">
        <f t="shared" si="29"/>
        <v/>
      </c>
      <c r="W82" s="30" t="str">
        <f t="shared" si="30"/>
        <v/>
      </c>
    </row>
    <row r="83" spans="1:23" x14ac:dyDescent="0.4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9" t="str">
        <f t="shared" si="21"/>
        <v/>
      </c>
      <c r="O83" s="9" t="str">
        <f t="shared" si="22"/>
        <v/>
      </c>
      <c r="P83" s="9" t="str">
        <f t="shared" si="23"/>
        <v/>
      </c>
      <c r="Q83" s="9" t="str">
        <f t="shared" si="24"/>
        <v/>
      </c>
      <c r="R83" s="9" t="str">
        <f t="shared" si="25"/>
        <v/>
      </c>
      <c r="S83" s="9" t="str">
        <f t="shared" si="26"/>
        <v/>
      </c>
      <c r="T83" s="28" t="str">
        <f t="shared" si="27"/>
        <v/>
      </c>
      <c r="U83" s="25" t="str">
        <f t="shared" si="28"/>
        <v/>
      </c>
      <c r="V83" s="25" t="str">
        <f t="shared" si="29"/>
        <v/>
      </c>
      <c r="W83" s="30" t="str">
        <f t="shared" si="30"/>
        <v/>
      </c>
    </row>
    <row r="84" spans="1:23" x14ac:dyDescent="0.4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9" t="str">
        <f t="shared" si="21"/>
        <v/>
      </c>
      <c r="O84" s="9" t="str">
        <f t="shared" si="22"/>
        <v/>
      </c>
      <c r="P84" s="9" t="str">
        <f t="shared" si="23"/>
        <v/>
      </c>
      <c r="Q84" s="9" t="str">
        <f t="shared" si="24"/>
        <v/>
      </c>
      <c r="R84" s="9" t="str">
        <f t="shared" si="25"/>
        <v/>
      </c>
      <c r="S84" s="9" t="str">
        <f t="shared" si="26"/>
        <v/>
      </c>
      <c r="T84" s="28" t="str">
        <f t="shared" si="27"/>
        <v/>
      </c>
      <c r="U84" s="25" t="str">
        <f t="shared" si="28"/>
        <v/>
      </c>
      <c r="V84" s="25" t="str">
        <f t="shared" si="29"/>
        <v/>
      </c>
      <c r="W84" s="30" t="str">
        <f t="shared" si="30"/>
        <v/>
      </c>
    </row>
    <row r="85" spans="1:23" x14ac:dyDescent="0.4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9" t="str">
        <f t="shared" si="21"/>
        <v/>
      </c>
      <c r="O85" s="9" t="str">
        <f t="shared" si="22"/>
        <v/>
      </c>
      <c r="P85" s="9" t="str">
        <f t="shared" si="23"/>
        <v/>
      </c>
      <c r="Q85" s="9" t="str">
        <f t="shared" si="24"/>
        <v/>
      </c>
      <c r="R85" s="9" t="str">
        <f t="shared" si="25"/>
        <v/>
      </c>
      <c r="S85" s="9" t="str">
        <f t="shared" si="26"/>
        <v/>
      </c>
      <c r="T85" s="28" t="str">
        <f t="shared" si="27"/>
        <v/>
      </c>
      <c r="U85" s="25" t="str">
        <f t="shared" si="28"/>
        <v/>
      </c>
      <c r="V85" s="25" t="str">
        <f t="shared" si="29"/>
        <v/>
      </c>
      <c r="W85" s="30" t="str">
        <f t="shared" si="30"/>
        <v/>
      </c>
    </row>
    <row r="86" spans="1:23" x14ac:dyDescent="0.4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9" t="str">
        <f t="shared" si="21"/>
        <v/>
      </c>
      <c r="O86" s="9" t="str">
        <f t="shared" si="22"/>
        <v/>
      </c>
      <c r="P86" s="9" t="str">
        <f t="shared" si="23"/>
        <v/>
      </c>
      <c r="Q86" s="9" t="str">
        <f t="shared" si="24"/>
        <v/>
      </c>
      <c r="R86" s="9" t="str">
        <f t="shared" si="25"/>
        <v/>
      </c>
      <c r="S86" s="9" t="str">
        <f t="shared" si="26"/>
        <v/>
      </c>
      <c r="T86" s="28" t="str">
        <f t="shared" si="27"/>
        <v/>
      </c>
      <c r="U86" s="25" t="str">
        <f t="shared" si="28"/>
        <v/>
      </c>
      <c r="V86" s="25" t="str">
        <f t="shared" si="29"/>
        <v/>
      </c>
      <c r="W86" s="30" t="str">
        <f t="shared" si="30"/>
        <v/>
      </c>
    </row>
    <row r="87" spans="1:23" x14ac:dyDescent="0.4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9" t="str">
        <f t="shared" si="21"/>
        <v/>
      </c>
      <c r="O87" s="9" t="str">
        <f t="shared" si="22"/>
        <v/>
      </c>
      <c r="P87" s="9" t="str">
        <f t="shared" si="23"/>
        <v/>
      </c>
      <c r="Q87" s="9" t="str">
        <f t="shared" si="24"/>
        <v/>
      </c>
      <c r="R87" s="9" t="str">
        <f t="shared" si="25"/>
        <v/>
      </c>
      <c r="S87" s="9" t="str">
        <f t="shared" si="26"/>
        <v/>
      </c>
      <c r="T87" s="28" t="str">
        <f t="shared" si="27"/>
        <v/>
      </c>
      <c r="U87" s="25" t="str">
        <f t="shared" si="28"/>
        <v/>
      </c>
      <c r="V87" s="25" t="str">
        <f t="shared" si="29"/>
        <v/>
      </c>
      <c r="W87" s="30" t="str">
        <f t="shared" si="30"/>
        <v/>
      </c>
    </row>
    <row r="88" spans="1:23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9" t="str">
        <f t="shared" si="21"/>
        <v/>
      </c>
      <c r="O88" s="9" t="str">
        <f t="shared" si="22"/>
        <v/>
      </c>
      <c r="P88" s="9" t="str">
        <f t="shared" si="23"/>
        <v/>
      </c>
      <c r="Q88" s="9" t="str">
        <f t="shared" si="24"/>
        <v/>
      </c>
      <c r="R88" s="9" t="str">
        <f t="shared" si="25"/>
        <v/>
      </c>
      <c r="S88" s="9" t="str">
        <f t="shared" si="26"/>
        <v/>
      </c>
      <c r="T88" s="28" t="str">
        <f t="shared" si="27"/>
        <v/>
      </c>
      <c r="U88" s="25" t="str">
        <f t="shared" si="28"/>
        <v/>
      </c>
      <c r="V88" s="25" t="str">
        <f t="shared" si="29"/>
        <v/>
      </c>
      <c r="W88" s="30" t="str">
        <f t="shared" si="30"/>
        <v/>
      </c>
    </row>
    <row r="89" spans="1:23" x14ac:dyDescent="0.4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9" t="str">
        <f t="shared" si="21"/>
        <v/>
      </c>
      <c r="O89" s="9" t="str">
        <f t="shared" si="22"/>
        <v/>
      </c>
      <c r="P89" s="9" t="str">
        <f t="shared" si="23"/>
        <v/>
      </c>
      <c r="Q89" s="9" t="str">
        <f t="shared" si="24"/>
        <v/>
      </c>
      <c r="R89" s="9" t="str">
        <f t="shared" si="25"/>
        <v/>
      </c>
      <c r="S89" s="9" t="str">
        <f t="shared" si="26"/>
        <v/>
      </c>
      <c r="T89" s="28" t="str">
        <f t="shared" si="27"/>
        <v/>
      </c>
      <c r="U89" s="25" t="str">
        <f t="shared" si="28"/>
        <v/>
      </c>
      <c r="V89" s="25" t="str">
        <f t="shared" si="29"/>
        <v/>
      </c>
      <c r="W89" s="30" t="str">
        <f t="shared" si="30"/>
        <v/>
      </c>
    </row>
    <row r="90" spans="1:23" x14ac:dyDescent="0.4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9" t="str">
        <f t="shared" si="21"/>
        <v/>
      </c>
      <c r="O90" s="9" t="str">
        <f t="shared" si="22"/>
        <v/>
      </c>
      <c r="P90" s="9" t="str">
        <f t="shared" si="23"/>
        <v/>
      </c>
      <c r="Q90" s="9" t="str">
        <f t="shared" si="24"/>
        <v/>
      </c>
      <c r="R90" s="9" t="str">
        <f t="shared" si="25"/>
        <v/>
      </c>
      <c r="S90" s="9" t="str">
        <f t="shared" si="26"/>
        <v/>
      </c>
      <c r="T90" s="28" t="str">
        <f t="shared" si="27"/>
        <v/>
      </c>
      <c r="U90" s="25" t="str">
        <f t="shared" si="28"/>
        <v/>
      </c>
      <c r="V90" s="25" t="str">
        <f t="shared" si="29"/>
        <v/>
      </c>
      <c r="W90" s="30" t="str">
        <f t="shared" si="30"/>
        <v/>
      </c>
    </row>
    <row r="91" spans="1:23" x14ac:dyDescent="0.4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9" t="str">
        <f t="shared" si="21"/>
        <v/>
      </c>
      <c r="O91" s="9" t="str">
        <f t="shared" si="22"/>
        <v/>
      </c>
      <c r="P91" s="9" t="str">
        <f t="shared" si="23"/>
        <v/>
      </c>
      <c r="Q91" s="9" t="str">
        <f t="shared" si="24"/>
        <v/>
      </c>
      <c r="R91" s="9" t="str">
        <f t="shared" si="25"/>
        <v/>
      </c>
      <c r="S91" s="9" t="str">
        <f t="shared" si="26"/>
        <v/>
      </c>
      <c r="T91" s="28" t="str">
        <f t="shared" si="27"/>
        <v/>
      </c>
      <c r="U91" s="25" t="str">
        <f t="shared" si="28"/>
        <v/>
      </c>
      <c r="V91" s="25" t="str">
        <f t="shared" si="29"/>
        <v/>
      </c>
      <c r="W91" s="30" t="str">
        <f t="shared" si="30"/>
        <v/>
      </c>
    </row>
    <row r="92" spans="1:23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9" t="str">
        <f t="shared" si="21"/>
        <v/>
      </c>
      <c r="O92" s="9" t="str">
        <f t="shared" si="22"/>
        <v/>
      </c>
      <c r="P92" s="9" t="str">
        <f t="shared" si="23"/>
        <v/>
      </c>
      <c r="Q92" s="9" t="str">
        <f t="shared" si="24"/>
        <v/>
      </c>
      <c r="R92" s="9" t="str">
        <f t="shared" si="25"/>
        <v/>
      </c>
      <c r="S92" s="9" t="str">
        <f t="shared" si="26"/>
        <v/>
      </c>
      <c r="T92" s="28" t="str">
        <f t="shared" si="27"/>
        <v/>
      </c>
      <c r="U92" s="25" t="str">
        <f t="shared" si="28"/>
        <v/>
      </c>
      <c r="V92" s="25" t="str">
        <f t="shared" si="29"/>
        <v/>
      </c>
      <c r="W92" s="30" t="str">
        <f t="shared" si="30"/>
        <v/>
      </c>
    </row>
    <row r="93" spans="1:23" x14ac:dyDescent="0.4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9" t="str">
        <f t="shared" si="21"/>
        <v/>
      </c>
      <c r="O93" s="9" t="str">
        <f t="shared" si="22"/>
        <v/>
      </c>
      <c r="P93" s="9" t="str">
        <f t="shared" si="23"/>
        <v/>
      </c>
      <c r="Q93" s="9" t="str">
        <f t="shared" si="24"/>
        <v/>
      </c>
      <c r="R93" s="9" t="str">
        <f t="shared" si="25"/>
        <v/>
      </c>
      <c r="S93" s="9" t="str">
        <f t="shared" si="26"/>
        <v/>
      </c>
      <c r="T93" s="28" t="str">
        <f t="shared" si="27"/>
        <v/>
      </c>
      <c r="U93" s="25" t="str">
        <f t="shared" si="28"/>
        <v/>
      </c>
      <c r="V93" s="25" t="str">
        <f t="shared" si="29"/>
        <v/>
      </c>
      <c r="W93" s="30" t="str">
        <f t="shared" si="30"/>
        <v/>
      </c>
    </row>
    <row r="94" spans="1:23" x14ac:dyDescent="0.4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9" t="str">
        <f t="shared" si="21"/>
        <v/>
      </c>
      <c r="O94" s="9" t="str">
        <f t="shared" si="22"/>
        <v/>
      </c>
      <c r="P94" s="9" t="str">
        <f t="shared" si="23"/>
        <v/>
      </c>
      <c r="Q94" s="9" t="str">
        <f t="shared" si="24"/>
        <v/>
      </c>
      <c r="R94" s="9" t="str">
        <f t="shared" si="25"/>
        <v/>
      </c>
      <c r="S94" s="9" t="str">
        <f t="shared" si="26"/>
        <v/>
      </c>
      <c r="T94" s="28" t="str">
        <f t="shared" si="27"/>
        <v/>
      </c>
      <c r="U94" s="25" t="str">
        <f t="shared" si="28"/>
        <v/>
      </c>
      <c r="V94" s="25" t="str">
        <f t="shared" si="29"/>
        <v/>
      </c>
      <c r="W94" s="30" t="str">
        <f t="shared" si="30"/>
        <v/>
      </c>
    </row>
    <row r="95" spans="1:23" x14ac:dyDescent="0.4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9" t="str">
        <f t="shared" si="21"/>
        <v/>
      </c>
      <c r="O95" s="9" t="str">
        <f t="shared" si="22"/>
        <v/>
      </c>
      <c r="P95" s="9" t="str">
        <f t="shared" si="23"/>
        <v/>
      </c>
      <c r="Q95" s="9" t="str">
        <f t="shared" si="24"/>
        <v/>
      </c>
      <c r="R95" s="9" t="str">
        <f t="shared" si="25"/>
        <v/>
      </c>
      <c r="S95" s="9" t="str">
        <f t="shared" si="26"/>
        <v/>
      </c>
      <c r="T95" s="28" t="str">
        <f t="shared" si="27"/>
        <v/>
      </c>
      <c r="U95" s="25" t="str">
        <f t="shared" si="28"/>
        <v/>
      </c>
      <c r="V95" s="25" t="str">
        <f t="shared" si="29"/>
        <v/>
      </c>
      <c r="W95" s="30" t="str">
        <f t="shared" si="30"/>
        <v/>
      </c>
    </row>
    <row r="96" spans="1:23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9" t="str">
        <f t="shared" si="21"/>
        <v/>
      </c>
      <c r="O96" s="9" t="str">
        <f t="shared" si="22"/>
        <v/>
      </c>
      <c r="P96" s="9" t="str">
        <f t="shared" si="23"/>
        <v/>
      </c>
      <c r="Q96" s="9" t="str">
        <f t="shared" si="24"/>
        <v/>
      </c>
      <c r="R96" s="9" t="str">
        <f t="shared" si="25"/>
        <v/>
      </c>
      <c r="S96" s="9" t="str">
        <f t="shared" si="26"/>
        <v/>
      </c>
      <c r="T96" s="28" t="str">
        <f t="shared" si="27"/>
        <v/>
      </c>
      <c r="U96" s="25" t="str">
        <f t="shared" si="28"/>
        <v/>
      </c>
      <c r="V96" s="25" t="str">
        <f t="shared" si="29"/>
        <v/>
      </c>
      <c r="W96" s="30" t="str">
        <f t="shared" si="30"/>
        <v/>
      </c>
    </row>
    <row r="97" spans="1:23" x14ac:dyDescent="0.4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9" t="str">
        <f t="shared" si="21"/>
        <v/>
      </c>
      <c r="O97" s="9" t="str">
        <f t="shared" si="22"/>
        <v/>
      </c>
      <c r="P97" s="9" t="str">
        <f t="shared" si="23"/>
        <v/>
      </c>
      <c r="Q97" s="9" t="str">
        <f t="shared" si="24"/>
        <v/>
      </c>
      <c r="R97" s="9" t="str">
        <f t="shared" si="25"/>
        <v/>
      </c>
      <c r="S97" s="9" t="str">
        <f t="shared" si="26"/>
        <v/>
      </c>
      <c r="T97" s="28" t="str">
        <f t="shared" si="27"/>
        <v/>
      </c>
      <c r="U97" s="25" t="str">
        <f t="shared" si="28"/>
        <v/>
      </c>
      <c r="V97" s="25" t="str">
        <f t="shared" si="29"/>
        <v/>
      </c>
      <c r="W97" s="30" t="str">
        <f t="shared" si="30"/>
        <v/>
      </c>
    </row>
    <row r="98" spans="1:23" x14ac:dyDescent="0.4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9" t="str">
        <f t="shared" si="21"/>
        <v/>
      </c>
      <c r="O98" s="9" t="str">
        <f t="shared" si="22"/>
        <v/>
      </c>
      <c r="P98" s="9" t="str">
        <f t="shared" si="23"/>
        <v/>
      </c>
      <c r="Q98" s="9" t="str">
        <f t="shared" si="24"/>
        <v/>
      </c>
      <c r="R98" s="9" t="str">
        <f t="shared" si="25"/>
        <v/>
      </c>
      <c r="S98" s="9" t="str">
        <f t="shared" si="26"/>
        <v/>
      </c>
      <c r="T98" s="28" t="str">
        <f t="shared" si="27"/>
        <v/>
      </c>
      <c r="U98" s="25" t="str">
        <f t="shared" si="28"/>
        <v/>
      </c>
      <c r="V98" s="25" t="str">
        <f t="shared" si="29"/>
        <v/>
      </c>
      <c r="W98" s="30" t="str">
        <f t="shared" si="30"/>
        <v/>
      </c>
    </row>
    <row r="99" spans="1:23" x14ac:dyDescent="0.4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9" t="str">
        <f t="shared" si="21"/>
        <v/>
      </c>
      <c r="O99" s="9" t="str">
        <f t="shared" si="22"/>
        <v/>
      </c>
      <c r="P99" s="9" t="str">
        <f t="shared" si="23"/>
        <v/>
      </c>
      <c r="Q99" s="9" t="str">
        <f t="shared" si="24"/>
        <v/>
      </c>
      <c r="R99" s="9" t="str">
        <f t="shared" si="25"/>
        <v/>
      </c>
      <c r="S99" s="9" t="str">
        <f t="shared" si="26"/>
        <v/>
      </c>
      <c r="T99" s="28" t="str">
        <f t="shared" si="27"/>
        <v/>
      </c>
      <c r="U99" s="25" t="str">
        <f t="shared" si="28"/>
        <v/>
      </c>
      <c r="V99" s="25" t="str">
        <f t="shared" si="29"/>
        <v/>
      </c>
      <c r="W99" s="30" t="str">
        <f t="shared" si="30"/>
        <v/>
      </c>
    </row>
    <row r="100" spans="1:23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9" t="str">
        <f t="shared" si="21"/>
        <v/>
      </c>
      <c r="O100" s="9" t="str">
        <f t="shared" si="22"/>
        <v/>
      </c>
      <c r="P100" s="9" t="str">
        <f t="shared" si="23"/>
        <v/>
      </c>
      <c r="Q100" s="9" t="str">
        <f t="shared" si="24"/>
        <v/>
      </c>
      <c r="R100" s="9" t="str">
        <f t="shared" si="25"/>
        <v/>
      </c>
      <c r="S100" s="9" t="str">
        <f t="shared" si="26"/>
        <v/>
      </c>
      <c r="T100" s="28" t="str">
        <f t="shared" si="27"/>
        <v/>
      </c>
      <c r="U100" s="25" t="str">
        <f t="shared" si="28"/>
        <v/>
      </c>
      <c r="V100" s="25" t="str">
        <f t="shared" si="29"/>
        <v/>
      </c>
      <c r="W100" s="30" t="str">
        <f t="shared" si="30"/>
        <v/>
      </c>
    </row>
    <row r="101" spans="1:23" x14ac:dyDescent="0.4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9" t="str">
        <f t="shared" si="21"/>
        <v/>
      </c>
      <c r="O101" s="9" t="str">
        <f t="shared" si="22"/>
        <v/>
      </c>
      <c r="P101" s="9" t="str">
        <f t="shared" si="23"/>
        <v/>
      </c>
      <c r="Q101" s="9" t="str">
        <f t="shared" si="24"/>
        <v/>
      </c>
      <c r="R101" s="9" t="str">
        <f t="shared" si="25"/>
        <v/>
      </c>
      <c r="S101" s="9" t="str">
        <f t="shared" si="26"/>
        <v/>
      </c>
      <c r="T101" s="28" t="str">
        <f t="shared" si="27"/>
        <v/>
      </c>
      <c r="U101" s="25" t="str">
        <f t="shared" si="28"/>
        <v/>
      </c>
      <c r="V101" s="25" t="str">
        <f t="shared" si="29"/>
        <v/>
      </c>
      <c r="W101" s="30" t="str">
        <f t="shared" si="30"/>
        <v/>
      </c>
    </row>
    <row r="102" spans="1:23" x14ac:dyDescent="0.4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9" t="str">
        <f t="shared" si="21"/>
        <v/>
      </c>
      <c r="O102" s="9" t="str">
        <f t="shared" si="22"/>
        <v/>
      </c>
      <c r="P102" s="9" t="str">
        <f t="shared" si="23"/>
        <v/>
      </c>
      <c r="Q102" s="9" t="str">
        <f t="shared" si="24"/>
        <v/>
      </c>
      <c r="R102" s="9" t="str">
        <f t="shared" si="25"/>
        <v/>
      </c>
      <c r="S102" s="9" t="str">
        <f t="shared" si="26"/>
        <v/>
      </c>
      <c r="T102" s="28" t="str">
        <f t="shared" si="27"/>
        <v/>
      </c>
      <c r="U102" s="25" t="str">
        <f t="shared" si="28"/>
        <v/>
      </c>
      <c r="V102" s="25" t="str">
        <f t="shared" si="29"/>
        <v/>
      </c>
      <c r="W102" s="30" t="str">
        <f t="shared" si="30"/>
        <v/>
      </c>
    </row>
    <row r="103" spans="1:23" x14ac:dyDescent="0.4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9" t="str">
        <f t="shared" si="21"/>
        <v/>
      </c>
      <c r="O103" s="9" t="str">
        <f t="shared" si="22"/>
        <v/>
      </c>
      <c r="P103" s="9" t="str">
        <f t="shared" si="23"/>
        <v/>
      </c>
      <c r="Q103" s="9" t="str">
        <f t="shared" si="24"/>
        <v/>
      </c>
      <c r="R103" s="9" t="str">
        <f t="shared" si="25"/>
        <v/>
      </c>
      <c r="S103" s="9" t="str">
        <f t="shared" si="26"/>
        <v/>
      </c>
      <c r="T103" s="28" t="str">
        <f t="shared" ref="T103:T134" si="31">IF($D103="","",SUM(N103:S103))</f>
        <v/>
      </c>
      <c r="U103" s="25" t="str">
        <f t="shared" ref="U103:U134" si="32">IF($D103="","",T103*1000/(p_vUnit*IF(p_fases=3,SQRT(3),1)))</f>
        <v/>
      </c>
      <c r="V103" s="25" t="str">
        <f t="shared" ref="V103:V134" si="33">IF($D103="","",U103*p_protFactor)</f>
        <v/>
      </c>
      <c r="W103" s="30" t="str">
        <f t="shared" ref="W103:W134" si="34">IF($D103="","",IFERROR(MAX(p_minBreaker,INDEX(brk_list,SUMPRODUCT(--(brk_list&lt;V103-0.000000001))+1)),"excede"))</f>
        <v/>
      </c>
    </row>
    <row r="104" spans="1:23" x14ac:dyDescent="0.4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9" t="str">
        <f t="shared" si="21"/>
        <v/>
      </c>
      <c r="O104" s="9" t="str">
        <f t="shared" si="22"/>
        <v/>
      </c>
      <c r="P104" s="9" t="str">
        <f t="shared" si="23"/>
        <v/>
      </c>
      <c r="Q104" s="9" t="str">
        <f t="shared" si="24"/>
        <v/>
      </c>
      <c r="R104" s="9" t="str">
        <f t="shared" si="25"/>
        <v/>
      </c>
      <c r="S104" s="9" t="str">
        <f t="shared" si="26"/>
        <v/>
      </c>
      <c r="T104" s="28" t="str">
        <f t="shared" si="31"/>
        <v/>
      </c>
      <c r="U104" s="25" t="str">
        <f t="shared" si="32"/>
        <v/>
      </c>
      <c r="V104" s="25" t="str">
        <f t="shared" si="33"/>
        <v/>
      </c>
      <c r="W104" s="30" t="str">
        <f t="shared" si="34"/>
        <v/>
      </c>
    </row>
    <row r="105" spans="1:23" x14ac:dyDescent="0.4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9" t="str">
        <f t="shared" si="21"/>
        <v/>
      </c>
      <c r="O105" s="9" t="str">
        <f t="shared" si="22"/>
        <v/>
      </c>
      <c r="P105" s="9" t="str">
        <f t="shared" si="23"/>
        <v/>
      </c>
      <c r="Q105" s="9" t="str">
        <f t="shared" si="24"/>
        <v/>
      </c>
      <c r="R105" s="9" t="str">
        <f t="shared" si="25"/>
        <v/>
      </c>
      <c r="S105" s="9" t="str">
        <f t="shared" si="26"/>
        <v/>
      </c>
      <c r="T105" s="28" t="str">
        <f t="shared" si="31"/>
        <v/>
      </c>
      <c r="U105" s="25" t="str">
        <f t="shared" si="32"/>
        <v/>
      </c>
      <c r="V105" s="25" t="str">
        <f t="shared" si="33"/>
        <v/>
      </c>
      <c r="W105" s="30" t="str">
        <f t="shared" si="34"/>
        <v/>
      </c>
    </row>
    <row r="106" spans="1:23" x14ac:dyDescent="0.4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9" t="str">
        <f t="shared" si="21"/>
        <v/>
      </c>
      <c r="O106" s="9" t="str">
        <f t="shared" si="22"/>
        <v/>
      </c>
      <c r="P106" s="9" t="str">
        <f t="shared" si="23"/>
        <v/>
      </c>
      <c r="Q106" s="9" t="str">
        <f t="shared" si="24"/>
        <v/>
      </c>
      <c r="R106" s="9" t="str">
        <f t="shared" si="25"/>
        <v/>
      </c>
      <c r="S106" s="9" t="str">
        <f t="shared" si="26"/>
        <v/>
      </c>
      <c r="T106" s="28" t="str">
        <f t="shared" si="31"/>
        <v/>
      </c>
      <c r="U106" s="25" t="str">
        <f t="shared" si="32"/>
        <v/>
      </c>
      <c r="V106" s="25" t="str">
        <f t="shared" si="33"/>
        <v/>
      </c>
      <c r="W106" s="30" t="str">
        <f t="shared" si="34"/>
        <v/>
      </c>
    </row>
  </sheetData>
  <dataValidations count="3">
    <dataValidation type="list" allowBlank="1" showInputMessage="1" showErrorMessage="1" sqref="A7:A106" xr:uid="{00000000-0002-0000-0400-000000000000}">
      <formula1>list_sectores</formula1>
    </dataValidation>
    <dataValidation type="list" allowBlank="1" showInputMessage="1" showErrorMessage="1" sqref="F7:F106" xr:uid="{00000000-0002-0000-0400-000001000000}">
      <formula1>tipos_n</formula1>
    </dataValidation>
    <dataValidation type="list" allowBlank="1" showInputMessage="1" showErrorMessage="1" sqref="M7:M106" xr:uid="{00000000-0002-0000-0400-000002000000}">
      <formula1>"Sí,No"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LimpiarServicios">
                <anchor>
                  <from>
                    <xdr:col>14</xdr:col>
                    <xdr:colOff>742950</xdr:colOff>
                    <xdr:row>1</xdr:row>
                    <xdr:rowOff>0</xdr:rowOff>
                  </from>
                  <to>
                    <xdr:col>17</xdr:col>
                    <xdr:colOff>19050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36"/>
  <sheetViews>
    <sheetView workbookViewId="0">
      <pane ySplit="6" topLeftCell="A7" activePane="bottomLeft" state="frozen"/>
      <selection pane="bottomLeft"/>
    </sheetView>
  </sheetViews>
  <sheetFormatPr defaultRowHeight="14.25" x14ac:dyDescent="0.45"/>
  <cols>
    <col min="1" max="1" width="14" customWidth="1"/>
    <col min="2" max="2" width="34" customWidth="1"/>
    <col min="3" max="3" width="14" customWidth="1"/>
    <col min="4" max="5" width="10" customWidth="1"/>
    <col min="6" max="8" width="14" customWidth="1"/>
    <col min="9" max="9" width="12" customWidth="1"/>
    <col min="10" max="11" width="14" customWidth="1"/>
  </cols>
  <sheetData>
    <row r="1" spans="1:11" ht="18" x14ac:dyDescent="0.55000000000000004">
      <c r="A1" s="3" t="s">
        <v>317</v>
      </c>
    </row>
    <row r="2" spans="1:11" x14ac:dyDescent="0.45">
      <c r="A2" s="16" t="s">
        <v>318</v>
      </c>
    </row>
    <row r="6" spans="1:11" ht="28.5" x14ac:dyDescent="0.45">
      <c r="A6" s="7" t="s">
        <v>7</v>
      </c>
      <c r="B6" s="7" t="s">
        <v>319</v>
      </c>
      <c r="C6" s="7" t="s">
        <v>320</v>
      </c>
      <c r="D6" s="7" t="s">
        <v>116</v>
      </c>
      <c r="E6" s="7" t="s">
        <v>321</v>
      </c>
      <c r="F6" s="7" t="s">
        <v>322</v>
      </c>
      <c r="G6" s="7" t="s">
        <v>323</v>
      </c>
      <c r="H6" s="7" t="s">
        <v>324</v>
      </c>
      <c r="I6" s="7" t="s">
        <v>325</v>
      </c>
      <c r="J6" s="7" t="s">
        <v>326</v>
      </c>
      <c r="K6" s="7" t="s">
        <v>327</v>
      </c>
    </row>
    <row r="7" spans="1:11" x14ac:dyDescent="0.45">
      <c r="A7" s="5"/>
      <c r="B7" s="5"/>
      <c r="C7" s="5"/>
      <c r="D7" s="5"/>
      <c r="E7" s="10" t="str">
        <f t="shared" ref="E7:E36" si="0">IF(C7="","",C7*0.746)</f>
        <v/>
      </c>
      <c r="F7" s="10" t="str">
        <f t="shared" ref="F7:F36" si="1">IF(C7="","",E7*N(D7))</f>
        <v/>
      </c>
      <c r="G7" s="10" t="str">
        <f t="shared" ref="G7:G36" si="2">IF(C7="","",F7/p_pf)</f>
        <v/>
      </c>
      <c r="H7" s="5"/>
      <c r="I7" s="10" t="str">
        <f t="shared" ref="I7:I36" si="3">IF(C7="","",IF(H7&lt;&gt;"",H7,IF(p_elevAuto=1,IF(SUMIFS($D$7:$D$36,$A$7:$A$36,$A7)=0,1,INDEX(t620_f,SUMPRODUCT(--(t620_h&lt;SUMIFS($D$7:$D$36,$A$7:$A$36,$A7)))+1)),p_fdElev)))</f>
        <v/>
      </c>
      <c r="J7" s="10" t="str">
        <f t="shared" ref="J7:J36" si="4">IF(C7="","",F7*I7)</f>
        <v/>
      </c>
      <c r="K7" s="10" t="str">
        <f t="shared" ref="K7:K36" si="5">IF(C7="","",J7/p_pf)</f>
        <v/>
      </c>
    </row>
    <row r="8" spans="1:11" x14ac:dyDescent="0.45">
      <c r="A8" s="5"/>
      <c r="B8" s="5"/>
      <c r="C8" s="5"/>
      <c r="D8" s="5"/>
      <c r="E8" s="10" t="str">
        <f t="shared" si="0"/>
        <v/>
      </c>
      <c r="F8" s="10" t="str">
        <f t="shared" si="1"/>
        <v/>
      </c>
      <c r="G8" s="10" t="str">
        <f t="shared" si="2"/>
        <v/>
      </c>
      <c r="H8" s="5"/>
      <c r="I8" s="10" t="str">
        <f t="shared" si="3"/>
        <v/>
      </c>
      <c r="J8" s="10" t="str">
        <f t="shared" si="4"/>
        <v/>
      </c>
      <c r="K8" s="10" t="str">
        <f t="shared" si="5"/>
        <v/>
      </c>
    </row>
    <row r="9" spans="1:11" x14ac:dyDescent="0.45">
      <c r="A9" s="5"/>
      <c r="B9" s="5"/>
      <c r="C9" s="5"/>
      <c r="D9" s="5"/>
      <c r="E9" s="10" t="str">
        <f t="shared" si="0"/>
        <v/>
      </c>
      <c r="F9" s="10" t="str">
        <f t="shared" si="1"/>
        <v/>
      </c>
      <c r="G9" s="10" t="str">
        <f t="shared" si="2"/>
        <v/>
      </c>
      <c r="H9" s="5"/>
      <c r="I9" s="10" t="str">
        <f t="shared" si="3"/>
        <v/>
      </c>
      <c r="J9" s="10" t="str">
        <f t="shared" si="4"/>
        <v/>
      </c>
      <c r="K9" s="10" t="str">
        <f t="shared" si="5"/>
        <v/>
      </c>
    </row>
    <row r="10" spans="1:11" x14ac:dyDescent="0.45">
      <c r="A10" s="5"/>
      <c r="B10" s="5"/>
      <c r="C10" s="5"/>
      <c r="D10" s="5"/>
      <c r="E10" s="10" t="str">
        <f t="shared" si="0"/>
        <v/>
      </c>
      <c r="F10" s="10" t="str">
        <f t="shared" si="1"/>
        <v/>
      </c>
      <c r="G10" s="10" t="str">
        <f t="shared" si="2"/>
        <v/>
      </c>
      <c r="H10" s="5"/>
      <c r="I10" s="10" t="str">
        <f t="shared" si="3"/>
        <v/>
      </c>
      <c r="J10" s="10" t="str">
        <f t="shared" si="4"/>
        <v/>
      </c>
      <c r="K10" s="10" t="str">
        <f t="shared" si="5"/>
        <v/>
      </c>
    </row>
    <row r="11" spans="1:11" x14ac:dyDescent="0.45">
      <c r="A11" s="5"/>
      <c r="B11" s="5"/>
      <c r="C11" s="5"/>
      <c r="D11" s="5"/>
      <c r="E11" s="10" t="str">
        <f t="shared" si="0"/>
        <v/>
      </c>
      <c r="F11" s="10" t="str">
        <f t="shared" si="1"/>
        <v/>
      </c>
      <c r="G11" s="10" t="str">
        <f t="shared" si="2"/>
        <v/>
      </c>
      <c r="H11" s="5"/>
      <c r="I11" s="10" t="str">
        <f t="shared" si="3"/>
        <v/>
      </c>
      <c r="J11" s="10" t="str">
        <f t="shared" si="4"/>
        <v/>
      </c>
      <c r="K11" s="10" t="str">
        <f t="shared" si="5"/>
        <v/>
      </c>
    </row>
    <row r="12" spans="1:11" x14ac:dyDescent="0.45">
      <c r="A12" s="5"/>
      <c r="B12" s="5"/>
      <c r="C12" s="5"/>
      <c r="D12" s="5"/>
      <c r="E12" s="10" t="str">
        <f t="shared" si="0"/>
        <v/>
      </c>
      <c r="F12" s="10" t="str">
        <f t="shared" si="1"/>
        <v/>
      </c>
      <c r="G12" s="10" t="str">
        <f t="shared" si="2"/>
        <v/>
      </c>
      <c r="H12" s="5"/>
      <c r="I12" s="10" t="str">
        <f t="shared" si="3"/>
        <v/>
      </c>
      <c r="J12" s="10" t="str">
        <f t="shared" si="4"/>
        <v/>
      </c>
      <c r="K12" s="10" t="str">
        <f t="shared" si="5"/>
        <v/>
      </c>
    </row>
    <row r="13" spans="1:11" x14ac:dyDescent="0.45">
      <c r="A13" s="5"/>
      <c r="B13" s="5"/>
      <c r="C13" s="5"/>
      <c r="D13" s="5"/>
      <c r="E13" s="10" t="str">
        <f t="shared" si="0"/>
        <v/>
      </c>
      <c r="F13" s="10" t="str">
        <f t="shared" si="1"/>
        <v/>
      </c>
      <c r="G13" s="10" t="str">
        <f t="shared" si="2"/>
        <v/>
      </c>
      <c r="H13" s="5"/>
      <c r="I13" s="10" t="str">
        <f t="shared" si="3"/>
        <v/>
      </c>
      <c r="J13" s="10" t="str">
        <f t="shared" si="4"/>
        <v/>
      </c>
      <c r="K13" s="10" t="str">
        <f t="shared" si="5"/>
        <v/>
      </c>
    </row>
    <row r="14" spans="1:11" x14ac:dyDescent="0.45">
      <c r="A14" s="5"/>
      <c r="B14" s="5"/>
      <c r="C14" s="5"/>
      <c r="D14" s="5"/>
      <c r="E14" s="10" t="str">
        <f t="shared" si="0"/>
        <v/>
      </c>
      <c r="F14" s="10" t="str">
        <f t="shared" si="1"/>
        <v/>
      </c>
      <c r="G14" s="10" t="str">
        <f t="shared" si="2"/>
        <v/>
      </c>
      <c r="H14" s="5"/>
      <c r="I14" s="10" t="str">
        <f t="shared" si="3"/>
        <v/>
      </c>
      <c r="J14" s="10" t="str">
        <f t="shared" si="4"/>
        <v/>
      </c>
      <c r="K14" s="10" t="str">
        <f t="shared" si="5"/>
        <v/>
      </c>
    </row>
    <row r="15" spans="1:11" x14ac:dyDescent="0.45">
      <c r="A15" s="5"/>
      <c r="B15" s="5"/>
      <c r="C15" s="5"/>
      <c r="D15" s="5"/>
      <c r="E15" s="10" t="str">
        <f t="shared" si="0"/>
        <v/>
      </c>
      <c r="F15" s="10" t="str">
        <f t="shared" si="1"/>
        <v/>
      </c>
      <c r="G15" s="10" t="str">
        <f t="shared" si="2"/>
        <v/>
      </c>
      <c r="H15" s="5"/>
      <c r="I15" s="10" t="str">
        <f t="shared" si="3"/>
        <v/>
      </c>
      <c r="J15" s="10" t="str">
        <f t="shared" si="4"/>
        <v/>
      </c>
      <c r="K15" s="10" t="str">
        <f t="shared" si="5"/>
        <v/>
      </c>
    </row>
    <row r="16" spans="1:11" x14ac:dyDescent="0.45">
      <c r="A16" s="5"/>
      <c r="B16" s="5"/>
      <c r="C16" s="5"/>
      <c r="D16" s="5"/>
      <c r="E16" s="10" t="str">
        <f t="shared" si="0"/>
        <v/>
      </c>
      <c r="F16" s="10" t="str">
        <f t="shared" si="1"/>
        <v/>
      </c>
      <c r="G16" s="10" t="str">
        <f t="shared" si="2"/>
        <v/>
      </c>
      <c r="H16" s="5"/>
      <c r="I16" s="10" t="str">
        <f t="shared" si="3"/>
        <v/>
      </c>
      <c r="J16" s="10" t="str">
        <f t="shared" si="4"/>
        <v/>
      </c>
      <c r="K16" s="10" t="str">
        <f t="shared" si="5"/>
        <v/>
      </c>
    </row>
    <row r="17" spans="1:11" x14ac:dyDescent="0.45">
      <c r="A17" s="5"/>
      <c r="B17" s="5"/>
      <c r="C17" s="5"/>
      <c r="D17" s="5"/>
      <c r="E17" s="10" t="str">
        <f t="shared" si="0"/>
        <v/>
      </c>
      <c r="F17" s="10" t="str">
        <f t="shared" si="1"/>
        <v/>
      </c>
      <c r="G17" s="10" t="str">
        <f t="shared" si="2"/>
        <v/>
      </c>
      <c r="H17" s="5"/>
      <c r="I17" s="10" t="str">
        <f t="shared" si="3"/>
        <v/>
      </c>
      <c r="J17" s="10" t="str">
        <f t="shared" si="4"/>
        <v/>
      </c>
      <c r="K17" s="10" t="str">
        <f t="shared" si="5"/>
        <v/>
      </c>
    </row>
    <row r="18" spans="1:11" x14ac:dyDescent="0.45">
      <c r="A18" s="5"/>
      <c r="B18" s="5"/>
      <c r="C18" s="5"/>
      <c r="D18" s="5"/>
      <c r="E18" s="10" t="str">
        <f t="shared" si="0"/>
        <v/>
      </c>
      <c r="F18" s="10" t="str">
        <f t="shared" si="1"/>
        <v/>
      </c>
      <c r="G18" s="10" t="str">
        <f t="shared" si="2"/>
        <v/>
      </c>
      <c r="H18" s="5"/>
      <c r="I18" s="10" t="str">
        <f t="shared" si="3"/>
        <v/>
      </c>
      <c r="J18" s="10" t="str">
        <f t="shared" si="4"/>
        <v/>
      </c>
      <c r="K18" s="10" t="str">
        <f t="shared" si="5"/>
        <v/>
      </c>
    </row>
    <row r="19" spans="1:11" x14ac:dyDescent="0.45">
      <c r="A19" s="5"/>
      <c r="B19" s="5"/>
      <c r="C19" s="5"/>
      <c r="D19" s="5"/>
      <c r="E19" s="10" t="str">
        <f t="shared" si="0"/>
        <v/>
      </c>
      <c r="F19" s="10" t="str">
        <f t="shared" si="1"/>
        <v/>
      </c>
      <c r="G19" s="10" t="str">
        <f t="shared" si="2"/>
        <v/>
      </c>
      <c r="H19" s="5"/>
      <c r="I19" s="10" t="str">
        <f t="shared" si="3"/>
        <v/>
      </c>
      <c r="J19" s="10" t="str">
        <f t="shared" si="4"/>
        <v/>
      </c>
      <c r="K19" s="10" t="str">
        <f t="shared" si="5"/>
        <v/>
      </c>
    </row>
    <row r="20" spans="1:11" x14ac:dyDescent="0.45">
      <c r="A20" s="5"/>
      <c r="B20" s="5"/>
      <c r="C20" s="5"/>
      <c r="D20" s="5"/>
      <c r="E20" s="10" t="str">
        <f t="shared" si="0"/>
        <v/>
      </c>
      <c r="F20" s="10" t="str">
        <f t="shared" si="1"/>
        <v/>
      </c>
      <c r="G20" s="10" t="str">
        <f t="shared" si="2"/>
        <v/>
      </c>
      <c r="H20" s="5"/>
      <c r="I20" s="10" t="str">
        <f t="shared" si="3"/>
        <v/>
      </c>
      <c r="J20" s="10" t="str">
        <f t="shared" si="4"/>
        <v/>
      </c>
      <c r="K20" s="10" t="str">
        <f t="shared" si="5"/>
        <v/>
      </c>
    </row>
    <row r="21" spans="1:11" x14ac:dyDescent="0.45">
      <c r="A21" s="5"/>
      <c r="B21" s="5"/>
      <c r="C21" s="5"/>
      <c r="D21" s="5"/>
      <c r="E21" s="10" t="str">
        <f t="shared" si="0"/>
        <v/>
      </c>
      <c r="F21" s="10" t="str">
        <f t="shared" si="1"/>
        <v/>
      </c>
      <c r="G21" s="10" t="str">
        <f t="shared" si="2"/>
        <v/>
      </c>
      <c r="H21" s="5"/>
      <c r="I21" s="10" t="str">
        <f t="shared" si="3"/>
        <v/>
      </c>
      <c r="J21" s="10" t="str">
        <f t="shared" si="4"/>
        <v/>
      </c>
      <c r="K21" s="10" t="str">
        <f t="shared" si="5"/>
        <v/>
      </c>
    </row>
    <row r="22" spans="1:11" x14ac:dyDescent="0.45">
      <c r="A22" s="5"/>
      <c r="B22" s="5"/>
      <c r="C22" s="5"/>
      <c r="D22" s="5"/>
      <c r="E22" s="10" t="str">
        <f t="shared" si="0"/>
        <v/>
      </c>
      <c r="F22" s="10" t="str">
        <f t="shared" si="1"/>
        <v/>
      </c>
      <c r="G22" s="10" t="str">
        <f t="shared" si="2"/>
        <v/>
      </c>
      <c r="H22" s="5"/>
      <c r="I22" s="10" t="str">
        <f t="shared" si="3"/>
        <v/>
      </c>
      <c r="J22" s="10" t="str">
        <f t="shared" si="4"/>
        <v/>
      </c>
      <c r="K22" s="10" t="str">
        <f t="shared" si="5"/>
        <v/>
      </c>
    </row>
    <row r="23" spans="1:11" x14ac:dyDescent="0.45">
      <c r="A23" s="5"/>
      <c r="B23" s="5"/>
      <c r="C23" s="5"/>
      <c r="D23" s="5"/>
      <c r="E23" s="10" t="str">
        <f t="shared" si="0"/>
        <v/>
      </c>
      <c r="F23" s="10" t="str">
        <f t="shared" si="1"/>
        <v/>
      </c>
      <c r="G23" s="10" t="str">
        <f t="shared" si="2"/>
        <v/>
      </c>
      <c r="H23" s="5"/>
      <c r="I23" s="10" t="str">
        <f t="shared" si="3"/>
        <v/>
      </c>
      <c r="J23" s="10" t="str">
        <f t="shared" si="4"/>
        <v/>
      </c>
      <c r="K23" s="10" t="str">
        <f t="shared" si="5"/>
        <v/>
      </c>
    </row>
    <row r="24" spans="1:11" x14ac:dyDescent="0.45">
      <c r="A24" s="5"/>
      <c r="B24" s="5"/>
      <c r="C24" s="5"/>
      <c r="D24" s="5"/>
      <c r="E24" s="10" t="str">
        <f t="shared" si="0"/>
        <v/>
      </c>
      <c r="F24" s="10" t="str">
        <f t="shared" si="1"/>
        <v/>
      </c>
      <c r="G24" s="10" t="str">
        <f t="shared" si="2"/>
        <v/>
      </c>
      <c r="H24" s="5"/>
      <c r="I24" s="10" t="str">
        <f t="shared" si="3"/>
        <v/>
      </c>
      <c r="J24" s="10" t="str">
        <f t="shared" si="4"/>
        <v/>
      </c>
      <c r="K24" s="10" t="str">
        <f t="shared" si="5"/>
        <v/>
      </c>
    </row>
    <row r="25" spans="1:11" x14ac:dyDescent="0.45">
      <c r="A25" s="5"/>
      <c r="B25" s="5"/>
      <c r="C25" s="5"/>
      <c r="D25" s="5"/>
      <c r="E25" s="10" t="str">
        <f t="shared" si="0"/>
        <v/>
      </c>
      <c r="F25" s="10" t="str">
        <f t="shared" si="1"/>
        <v/>
      </c>
      <c r="G25" s="10" t="str">
        <f t="shared" si="2"/>
        <v/>
      </c>
      <c r="H25" s="5"/>
      <c r="I25" s="10" t="str">
        <f t="shared" si="3"/>
        <v/>
      </c>
      <c r="J25" s="10" t="str">
        <f t="shared" si="4"/>
        <v/>
      </c>
      <c r="K25" s="10" t="str">
        <f t="shared" si="5"/>
        <v/>
      </c>
    </row>
    <row r="26" spans="1:11" x14ac:dyDescent="0.45">
      <c r="A26" s="5"/>
      <c r="B26" s="5"/>
      <c r="C26" s="5"/>
      <c r="D26" s="5"/>
      <c r="E26" s="10" t="str">
        <f t="shared" si="0"/>
        <v/>
      </c>
      <c r="F26" s="10" t="str">
        <f t="shared" si="1"/>
        <v/>
      </c>
      <c r="G26" s="10" t="str">
        <f t="shared" si="2"/>
        <v/>
      </c>
      <c r="H26" s="5"/>
      <c r="I26" s="10" t="str">
        <f t="shared" si="3"/>
        <v/>
      </c>
      <c r="J26" s="10" t="str">
        <f t="shared" si="4"/>
        <v/>
      </c>
      <c r="K26" s="10" t="str">
        <f t="shared" si="5"/>
        <v/>
      </c>
    </row>
    <row r="27" spans="1:11" x14ac:dyDescent="0.45">
      <c r="A27" s="5"/>
      <c r="B27" s="5"/>
      <c r="C27" s="5"/>
      <c r="D27" s="5"/>
      <c r="E27" s="10" t="str">
        <f t="shared" si="0"/>
        <v/>
      </c>
      <c r="F27" s="10" t="str">
        <f t="shared" si="1"/>
        <v/>
      </c>
      <c r="G27" s="10" t="str">
        <f t="shared" si="2"/>
        <v/>
      </c>
      <c r="H27" s="5"/>
      <c r="I27" s="10" t="str">
        <f t="shared" si="3"/>
        <v/>
      </c>
      <c r="J27" s="10" t="str">
        <f t="shared" si="4"/>
        <v/>
      </c>
      <c r="K27" s="10" t="str">
        <f t="shared" si="5"/>
        <v/>
      </c>
    </row>
    <row r="28" spans="1:11" x14ac:dyDescent="0.45">
      <c r="A28" s="5"/>
      <c r="B28" s="5"/>
      <c r="C28" s="5"/>
      <c r="D28" s="5"/>
      <c r="E28" s="10" t="str">
        <f t="shared" si="0"/>
        <v/>
      </c>
      <c r="F28" s="10" t="str">
        <f t="shared" si="1"/>
        <v/>
      </c>
      <c r="G28" s="10" t="str">
        <f t="shared" si="2"/>
        <v/>
      </c>
      <c r="H28" s="5"/>
      <c r="I28" s="10" t="str">
        <f t="shared" si="3"/>
        <v/>
      </c>
      <c r="J28" s="10" t="str">
        <f t="shared" si="4"/>
        <v/>
      </c>
      <c r="K28" s="10" t="str">
        <f t="shared" si="5"/>
        <v/>
      </c>
    </row>
    <row r="29" spans="1:11" x14ac:dyDescent="0.45">
      <c r="A29" s="5"/>
      <c r="B29" s="5"/>
      <c r="C29" s="5"/>
      <c r="D29" s="5"/>
      <c r="E29" s="10" t="str">
        <f t="shared" si="0"/>
        <v/>
      </c>
      <c r="F29" s="10" t="str">
        <f t="shared" si="1"/>
        <v/>
      </c>
      <c r="G29" s="10" t="str">
        <f t="shared" si="2"/>
        <v/>
      </c>
      <c r="H29" s="5"/>
      <c r="I29" s="10" t="str">
        <f t="shared" si="3"/>
        <v/>
      </c>
      <c r="J29" s="10" t="str">
        <f t="shared" si="4"/>
        <v/>
      </c>
      <c r="K29" s="10" t="str">
        <f t="shared" si="5"/>
        <v/>
      </c>
    </row>
    <row r="30" spans="1:11" x14ac:dyDescent="0.45">
      <c r="A30" s="5"/>
      <c r="B30" s="5"/>
      <c r="C30" s="5"/>
      <c r="D30" s="5"/>
      <c r="E30" s="10" t="str">
        <f t="shared" si="0"/>
        <v/>
      </c>
      <c r="F30" s="10" t="str">
        <f t="shared" si="1"/>
        <v/>
      </c>
      <c r="G30" s="10" t="str">
        <f t="shared" si="2"/>
        <v/>
      </c>
      <c r="H30" s="5"/>
      <c r="I30" s="10" t="str">
        <f t="shared" si="3"/>
        <v/>
      </c>
      <c r="J30" s="10" t="str">
        <f t="shared" si="4"/>
        <v/>
      </c>
      <c r="K30" s="10" t="str">
        <f t="shared" si="5"/>
        <v/>
      </c>
    </row>
    <row r="31" spans="1:11" x14ac:dyDescent="0.45">
      <c r="A31" s="5"/>
      <c r="B31" s="5"/>
      <c r="C31" s="5"/>
      <c r="D31" s="5"/>
      <c r="E31" s="10" t="str">
        <f t="shared" si="0"/>
        <v/>
      </c>
      <c r="F31" s="10" t="str">
        <f t="shared" si="1"/>
        <v/>
      </c>
      <c r="G31" s="10" t="str">
        <f t="shared" si="2"/>
        <v/>
      </c>
      <c r="H31" s="5"/>
      <c r="I31" s="10" t="str">
        <f t="shared" si="3"/>
        <v/>
      </c>
      <c r="J31" s="10" t="str">
        <f t="shared" si="4"/>
        <v/>
      </c>
      <c r="K31" s="10" t="str">
        <f t="shared" si="5"/>
        <v/>
      </c>
    </row>
    <row r="32" spans="1:11" x14ac:dyDescent="0.45">
      <c r="A32" s="5"/>
      <c r="B32" s="5"/>
      <c r="C32" s="5"/>
      <c r="D32" s="5"/>
      <c r="E32" s="10" t="str">
        <f t="shared" si="0"/>
        <v/>
      </c>
      <c r="F32" s="10" t="str">
        <f t="shared" si="1"/>
        <v/>
      </c>
      <c r="G32" s="10" t="str">
        <f t="shared" si="2"/>
        <v/>
      </c>
      <c r="H32" s="5"/>
      <c r="I32" s="10" t="str">
        <f t="shared" si="3"/>
        <v/>
      </c>
      <c r="J32" s="10" t="str">
        <f t="shared" si="4"/>
        <v/>
      </c>
      <c r="K32" s="10" t="str">
        <f t="shared" si="5"/>
        <v/>
      </c>
    </row>
    <row r="33" spans="1:11" x14ac:dyDescent="0.45">
      <c r="A33" s="5"/>
      <c r="B33" s="5"/>
      <c r="C33" s="5"/>
      <c r="D33" s="5"/>
      <c r="E33" s="10" t="str">
        <f t="shared" si="0"/>
        <v/>
      </c>
      <c r="F33" s="10" t="str">
        <f t="shared" si="1"/>
        <v/>
      </c>
      <c r="G33" s="10" t="str">
        <f t="shared" si="2"/>
        <v/>
      </c>
      <c r="H33" s="5"/>
      <c r="I33" s="10" t="str">
        <f t="shared" si="3"/>
        <v/>
      </c>
      <c r="J33" s="10" t="str">
        <f t="shared" si="4"/>
        <v/>
      </c>
      <c r="K33" s="10" t="str">
        <f t="shared" si="5"/>
        <v/>
      </c>
    </row>
    <row r="34" spans="1:11" x14ac:dyDescent="0.45">
      <c r="A34" s="5"/>
      <c r="B34" s="5"/>
      <c r="C34" s="5"/>
      <c r="D34" s="5"/>
      <c r="E34" s="10" t="str">
        <f t="shared" si="0"/>
        <v/>
      </c>
      <c r="F34" s="10" t="str">
        <f t="shared" si="1"/>
        <v/>
      </c>
      <c r="G34" s="10" t="str">
        <f t="shared" si="2"/>
        <v/>
      </c>
      <c r="H34" s="5"/>
      <c r="I34" s="10" t="str">
        <f t="shared" si="3"/>
        <v/>
      </c>
      <c r="J34" s="10" t="str">
        <f t="shared" si="4"/>
        <v/>
      </c>
      <c r="K34" s="10" t="str">
        <f t="shared" si="5"/>
        <v/>
      </c>
    </row>
    <row r="35" spans="1:11" x14ac:dyDescent="0.45">
      <c r="A35" s="5"/>
      <c r="B35" s="5"/>
      <c r="C35" s="5"/>
      <c r="D35" s="5"/>
      <c r="E35" s="10" t="str">
        <f t="shared" si="0"/>
        <v/>
      </c>
      <c r="F35" s="10" t="str">
        <f t="shared" si="1"/>
        <v/>
      </c>
      <c r="G35" s="10" t="str">
        <f t="shared" si="2"/>
        <v/>
      </c>
      <c r="H35" s="5"/>
      <c r="I35" s="10" t="str">
        <f t="shared" si="3"/>
        <v/>
      </c>
      <c r="J35" s="10" t="str">
        <f t="shared" si="4"/>
        <v/>
      </c>
      <c r="K35" s="10" t="str">
        <f t="shared" si="5"/>
        <v/>
      </c>
    </row>
    <row r="36" spans="1:11" x14ac:dyDescent="0.45">
      <c r="A36" s="5"/>
      <c r="B36" s="5"/>
      <c r="C36" s="5"/>
      <c r="D36" s="5"/>
      <c r="E36" s="10" t="str">
        <f t="shared" si="0"/>
        <v/>
      </c>
      <c r="F36" s="10" t="str">
        <f t="shared" si="1"/>
        <v/>
      </c>
      <c r="G36" s="10" t="str">
        <f t="shared" si="2"/>
        <v/>
      </c>
      <c r="H36" s="5"/>
      <c r="I36" s="10" t="str">
        <f t="shared" si="3"/>
        <v/>
      </c>
      <c r="J36" s="10" t="str">
        <f t="shared" si="4"/>
        <v/>
      </c>
      <c r="K36" s="10" t="str">
        <f t="shared" si="5"/>
        <v/>
      </c>
    </row>
  </sheetData>
  <dataValidations count="1">
    <dataValidation type="list" allowBlank="1" showInputMessage="1" showErrorMessage="1" sqref="A7:A36" xr:uid="{00000000-0002-0000-0500-000000000000}">
      <formula1>list_sectores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247"/>
  <sheetViews>
    <sheetView workbookViewId="0">
      <pane xSplit="3" ySplit="5" topLeftCell="D6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62" customWidth="1"/>
    <col min="2" max="2" width="9" customWidth="1"/>
    <col min="3" max="9" width="14" customWidth="1"/>
  </cols>
  <sheetData>
    <row r="1" spans="1:9" ht="18" x14ac:dyDescent="0.55000000000000004">
      <c r="A1" s="3" t="s">
        <v>328</v>
      </c>
    </row>
    <row r="3" spans="1:9" x14ac:dyDescent="0.45">
      <c r="A3" s="4" t="s">
        <v>329</v>
      </c>
      <c r="C3" s="32" t="s">
        <v>330</v>
      </c>
      <c r="D3" t="s">
        <v>331</v>
      </c>
    </row>
    <row r="5" spans="1:9" x14ac:dyDescent="0.45">
      <c r="A5" s="7" t="s">
        <v>332</v>
      </c>
      <c r="B5" s="7" t="s">
        <v>333</v>
      </c>
      <c r="C5" s="7" t="s">
        <v>334</v>
      </c>
      <c r="D5" s="7" t="s">
        <v>330</v>
      </c>
      <c r="E5" s="7" t="s">
        <v>335</v>
      </c>
      <c r="F5" s="7" t="s">
        <v>336</v>
      </c>
      <c r="G5" s="7" t="s">
        <v>337</v>
      </c>
      <c r="H5" s="7" t="s">
        <v>338</v>
      </c>
      <c r="I5" s="7" t="s">
        <v>339</v>
      </c>
    </row>
    <row r="6" spans="1:9" x14ac:dyDescent="0.45">
      <c r="A6" s="17" t="s">
        <v>340</v>
      </c>
      <c r="B6" s="33" t="s">
        <v>341</v>
      </c>
      <c r="C6" s="6">
        <f t="shared" ref="C6:C44" si="0">INDEX(D6:I6,MATCH($C$3,$D$5:$I$5,0))</f>
        <v>33</v>
      </c>
      <c r="D6" s="5">
        <v>33</v>
      </c>
      <c r="E6" s="5">
        <v>33</v>
      </c>
      <c r="F6" s="5">
        <v>22</v>
      </c>
      <c r="G6" s="5">
        <v>20</v>
      </c>
      <c r="H6" s="5">
        <v>33</v>
      </c>
      <c r="I6" s="5">
        <v>33</v>
      </c>
    </row>
    <row r="7" spans="1:9" x14ac:dyDescent="0.45">
      <c r="A7" s="17" t="s">
        <v>342</v>
      </c>
      <c r="B7" s="33" t="s">
        <v>343</v>
      </c>
      <c r="C7" s="6">
        <f t="shared" si="0"/>
        <v>2</v>
      </c>
      <c r="D7" s="5">
        <v>2</v>
      </c>
      <c r="E7" s="5">
        <v>2</v>
      </c>
      <c r="F7" s="5">
        <v>2</v>
      </c>
      <c r="G7" s="5">
        <v>1</v>
      </c>
      <c r="H7" s="5">
        <v>2</v>
      </c>
      <c r="I7" s="5">
        <v>2</v>
      </c>
    </row>
    <row r="8" spans="1:9" x14ac:dyDescent="0.45">
      <c r="A8" s="17" t="s">
        <v>344</v>
      </c>
      <c r="B8" s="33" t="s">
        <v>345</v>
      </c>
      <c r="C8" s="6">
        <f t="shared" si="0"/>
        <v>1500</v>
      </c>
      <c r="D8" s="5">
        <v>1500</v>
      </c>
      <c r="E8" s="5">
        <v>1500</v>
      </c>
      <c r="F8" s="5">
        <v>1500</v>
      </c>
      <c r="G8" s="5">
        <v>3000</v>
      </c>
      <c r="H8" s="5">
        <v>1500</v>
      </c>
      <c r="I8" s="5">
        <v>1500</v>
      </c>
    </row>
    <row r="9" spans="1:9" x14ac:dyDescent="0.45">
      <c r="A9" s="17" t="s">
        <v>346</v>
      </c>
      <c r="B9" s="33" t="s">
        <v>345</v>
      </c>
      <c r="C9" s="6">
        <f t="shared" si="0"/>
        <v>1500</v>
      </c>
      <c r="D9" s="5">
        <v>1500</v>
      </c>
      <c r="E9" s="5">
        <v>1500</v>
      </c>
      <c r="F9" s="5">
        <v>1500</v>
      </c>
      <c r="G9" s="5">
        <v>1500</v>
      </c>
      <c r="H9" s="5">
        <v>1500</v>
      </c>
      <c r="I9" s="5">
        <v>1500</v>
      </c>
    </row>
    <row r="10" spans="1:9" x14ac:dyDescent="0.45">
      <c r="A10" s="17" t="s">
        <v>347</v>
      </c>
      <c r="B10" s="33" t="s">
        <v>345</v>
      </c>
      <c r="C10" s="6">
        <f t="shared" si="0"/>
        <v>0</v>
      </c>
      <c r="D10" s="5">
        <v>0</v>
      </c>
      <c r="E10" s="5">
        <v>0</v>
      </c>
      <c r="F10" s="5">
        <v>0</v>
      </c>
      <c r="G10" s="5">
        <v>1000</v>
      </c>
      <c r="H10" s="5">
        <v>1440</v>
      </c>
      <c r="I10" s="5">
        <v>0</v>
      </c>
    </row>
    <row r="11" spans="1:9" x14ac:dyDescent="0.45">
      <c r="A11" s="17" t="s">
        <v>348</v>
      </c>
      <c r="B11" s="33" t="s">
        <v>345</v>
      </c>
      <c r="C11" s="6">
        <f t="shared" si="0"/>
        <v>8000</v>
      </c>
      <c r="D11" s="5">
        <v>8000</v>
      </c>
      <c r="E11" s="5">
        <v>8000</v>
      </c>
      <c r="F11" s="5">
        <v>8000</v>
      </c>
      <c r="G11" s="5">
        <v>0</v>
      </c>
      <c r="H11" s="5">
        <v>0</v>
      </c>
      <c r="I11" s="5">
        <v>8000</v>
      </c>
    </row>
    <row r="12" spans="1:9" x14ac:dyDescent="0.45">
      <c r="A12" s="17" t="s">
        <v>349</v>
      </c>
      <c r="B12" s="33" t="s">
        <v>345</v>
      </c>
      <c r="C12" s="6">
        <f t="shared" si="0"/>
        <v>6000</v>
      </c>
      <c r="D12" s="5">
        <v>6000</v>
      </c>
      <c r="E12" s="5">
        <v>6000</v>
      </c>
      <c r="F12" s="5">
        <v>6000</v>
      </c>
      <c r="G12" s="5">
        <v>0</v>
      </c>
      <c r="H12" s="5">
        <v>0</v>
      </c>
      <c r="I12" s="5">
        <v>6000</v>
      </c>
    </row>
    <row r="13" spans="1:9" x14ac:dyDescent="0.45">
      <c r="A13" s="17" t="s">
        <v>350</v>
      </c>
      <c r="B13" s="33" t="s">
        <v>341</v>
      </c>
      <c r="C13" s="6">
        <f t="shared" si="0"/>
        <v>0</v>
      </c>
      <c r="D13" s="5">
        <v>0</v>
      </c>
      <c r="E13" s="5">
        <v>0</v>
      </c>
      <c r="F13" s="5">
        <v>0</v>
      </c>
      <c r="G13" s="5">
        <v>30</v>
      </c>
      <c r="H13" s="5">
        <v>0</v>
      </c>
      <c r="I13" s="5">
        <v>0</v>
      </c>
    </row>
    <row r="14" spans="1:9" x14ac:dyDescent="0.45">
      <c r="A14" s="17" t="s">
        <v>351</v>
      </c>
      <c r="B14" s="33" t="s">
        <v>341</v>
      </c>
      <c r="C14" s="6">
        <f t="shared" si="0"/>
        <v>0</v>
      </c>
      <c r="D14" s="5">
        <v>0</v>
      </c>
      <c r="E14" s="5">
        <v>0</v>
      </c>
      <c r="F14" s="5">
        <v>0</v>
      </c>
      <c r="G14" s="5">
        <v>5</v>
      </c>
      <c r="H14" s="5">
        <v>0</v>
      </c>
      <c r="I14" s="5">
        <v>0</v>
      </c>
    </row>
    <row r="15" spans="1:9" x14ac:dyDescent="0.45">
      <c r="A15" s="17" t="s">
        <v>352</v>
      </c>
      <c r="B15" s="33" t="s">
        <v>345</v>
      </c>
      <c r="C15" s="6">
        <f t="shared" si="0"/>
        <v>0</v>
      </c>
      <c r="D15" s="5">
        <v>0</v>
      </c>
      <c r="E15" s="5">
        <v>0</v>
      </c>
      <c r="F15" s="5">
        <v>0</v>
      </c>
      <c r="G15" s="5">
        <v>1500</v>
      </c>
      <c r="H15" s="5">
        <v>0</v>
      </c>
      <c r="I15" s="5">
        <v>0</v>
      </c>
    </row>
    <row r="16" spans="1:9" x14ac:dyDescent="0.45">
      <c r="A16" s="17" t="s">
        <v>353</v>
      </c>
      <c r="B16" s="33" t="s">
        <v>345</v>
      </c>
      <c r="C16" s="6">
        <f t="shared" si="0"/>
        <v>0</v>
      </c>
      <c r="D16" s="5">
        <v>0</v>
      </c>
      <c r="E16" s="5">
        <v>0</v>
      </c>
      <c r="F16" s="5">
        <v>0</v>
      </c>
      <c r="G16" s="5">
        <v>1000</v>
      </c>
      <c r="H16" s="5">
        <v>0</v>
      </c>
      <c r="I16" s="5">
        <v>0</v>
      </c>
    </row>
    <row r="17" spans="1:9" x14ac:dyDescent="0.45">
      <c r="A17" s="17" t="s">
        <v>354</v>
      </c>
      <c r="B17" s="33" t="s">
        <v>341</v>
      </c>
      <c r="C17" s="6">
        <f t="shared" si="0"/>
        <v>0</v>
      </c>
      <c r="D17" s="5">
        <v>0</v>
      </c>
      <c r="E17" s="5">
        <v>0</v>
      </c>
      <c r="F17" s="5">
        <v>0</v>
      </c>
      <c r="G17" s="5">
        <v>80</v>
      </c>
      <c r="H17" s="5">
        <v>0</v>
      </c>
      <c r="I17" s="5">
        <v>0</v>
      </c>
    </row>
    <row r="18" spans="1:9" x14ac:dyDescent="0.45">
      <c r="A18" s="17" t="s">
        <v>355</v>
      </c>
      <c r="B18" s="33" t="s">
        <v>356</v>
      </c>
      <c r="C18" s="6">
        <f t="shared" si="0"/>
        <v>0</v>
      </c>
      <c r="D18" s="5">
        <v>0</v>
      </c>
      <c r="E18" s="5">
        <v>0</v>
      </c>
      <c r="F18" s="5">
        <v>0</v>
      </c>
      <c r="G18" s="5">
        <v>10</v>
      </c>
      <c r="H18" s="5">
        <v>0</v>
      </c>
      <c r="I18" s="5">
        <v>0</v>
      </c>
    </row>
    <row r="19" spans="1:9" x14ac:dyDescent="0.45">
      <c r="A19" s="17" t="s">
        <v>357</v>
      </c>
      <c r="B19" s="33" t="s">
        <v>345</v>
      </c>
      <c r="C19" s="6">
        <f t="shared" si="0"/>
        <v>10000</v>
      </c>
      <c r="D19" s="5">
        <v>10000</v>
      </c>
      <c r="E19" s="5">
        <v>10000</v>
      </c>
      <c r="F19" s="5">
        <v>8000</v>
      </c>
      <c r="G19" s="5">
        <v>10000</v>
      </c>
      <c r="H19" s="5">
        <v>10000</v>
      </c>
      <c r="I19" s="5">
        <v>10000</v>
      </c>
    </row>
    <row r="20" spans="1:9" x14ac:dyDescent="0.45">
      <c r="A20" s="17" t="s">
        <v>358</v>
      </c>
      <c r="B20" s="33"/>
      <c r="C20" s="6">
        <f t="shared" si="0"/>
        <v>0.4</v>
      </c>
      <c r="D20" s="5">
        <v>0.4</v>
      </c>
      <c r="E20" s="5">
        <v>0.4</v>
      </c>
      <c r="F20" s="5">
        <v>0.4</v>
      </c>
      <c r="G20" s="5">
        <v>0.4</v>
      </c>
      <c r="H20" s="5">
        <v>0.4</v>
      </c>
      <c r="I20" s="5">
        <v>0.4</v>
      </c>
    </row>
    <row r="21" spans="1:9" x14ac:dyDescent="0.45">
      <c r="A21" s="17" t="s">
        <v>359</v>
      </c>
      <c r="B21" s="33"/>
      <c r="C21" s="6">
        <f t="shared" si="0"/>
        <v>1</v>
      </c>
      <c r="D21" s="5">
        <v>1</v>
      </c>
      <c r="E21" s="5">
        <v>1</v>
      </c>
      <c r="F21" s="5">
        <v>1</v>
      </c>
      <c r="G21" s="5">
        <v>1</v>
      </c>
      <c r="H21" s="5">
        <v>0.7</v>
      </c>
      <c r="I21" s="5">
        <v>1</v>
      </c>
    </row>
    <row r="22" spans="1:9" x14ac:dyDescent="0.45">
      <c r="A22" s="17" t="s">
        <v>360</v>
      </c>
      <c r="B22" s="33"/>
      <c r="C22" s="6">
        <f t="shared" si="0"/>
        <v>1</v>
      </c>
      <c r="D22" s="5">
        <v>1</v>
      </c>
      <c r="E22" s="5">
        <v>1</v>
      </c>
      <c r="F22" s="5">
        <v>1</v>
      </c>
      <c r="G22" s="5">
        <v>1</v>
      </c>
      <c r="H22" s="5">
        <v>0.7</v>
      </c>
      <c r="I22" s="5">
        <v>1</v>
      </c>
    </row>
    <row r="23" spans="1:9" x14ac:dyDescent="0.45">
      <c r="A23" s="17" t="s">
        <v>361</v>
      </c>
      <c r="B23" s="33"/>
      <c r="C23" s="6">
        <f t="shared" si="0"/>
        <v>1</v>
      </c>
      <c r="D23" s="5">
        <v>1</v>
      </c>
      <c r="E23" s="5">
        <v>1</v>
      </c>
      <c r="F23" s="5">
        <v>1</v>
      </c>
      <c r="G23" s="5">
        <v>0.8</v>
      </c>
      <c r="H23" s="5">
        <v>1</v>
      </c>
      <c r="I23" s="5">
        <v>1</v>
      </c>
    </row>
    <row r="24" spans="1:9" x14ac:dyDescent="0.45">
      <c r="A24" s="17" t="s">
        <v>362</v>
      </c>
      <c r="B24" s="33" t="s">
        <v>343</v>
      </c>
      <c r="C24" s="6">
        <f t="shared" si="0"/>
        <v>4</v>
      </c>
      <c r="D24" s="5">
        <v>4</v>
      </c>
      <c r="E24" s="5">
        <v>4</v>
      </c>
      <c r="F24" s="5">
        <v>4</v>
      </c>
      <c r="G24" s="5">
        <v>4</v>
      </c>
      <c r="H24" s="5">
        <v>4</v>
      </c>
      <c r="I24" s="5">
        <v>4</v>
      </c>
    </row>
    <row r="25" spans="1:9" x14ac:dyDescent="0.45">
      <c r="A25" s="17" t="s">
        <v>363</v>
      </c>
      <c r="B25" s="33" t="s">
        <v>364</v>
      </c>
      <c r="C25" s="6">
        <f t="shared" si="0"/>
        <v>0</v>
      </c>
      <c r="D25" s="5">
        <v>0</v>
      </c>
      <c r="E25" s="5">
        <v>0</v>
      </c>
      <c r="F25" s="5">
        <v>0</v>
      </c>
      <c r="G25" s="5">
        <v>0</v>
      </c>
      <c r="H25" s="5">
        <v>1</v>
      </c>
      <c r="I25" s="5">
        <v>0</v>
      </c>
    </row>
    <row r="26" spans="1:9" x14ac:dyDescent="0.45">
      <c r="A26" s="17" t="s">
        <v>365</v>
      </c>
      <c r="B26" s="33"/>
      <c r="C26" s="6">
        <f t="shared" si="0"/>
        <v>0.75</v>
      </c>
      <c r="D26" s="5">
        <v>0.75</v>
      </c>
      <c r="E26" s="5">
        <v>0.75</v>
      </c>
      <c r="F26" s="5">
        <v>0.75</v>
      </c>
      <c r="G26" s="5">
        <v>0.75</v>
      </c>
      <c r="H26" s="5">
        <v>1</v>
      </c>
      <c r="I26" s="5">
        <v>0.75</v>
      </c>
    </row>
    <row r="27" spans="1:9" x14ac:dyDescent="0.45">
      <c r="A27" s="17" t="s">
        <v>366</v>
      </c>
      <c r="B27" s="33"/>
      <c r="C27" s="6">
        <f t="shared" si="0"/>
        <v>1</v>
      </c>
      <c r="D27" s="5">
        <v>1</v>
      </c>
      <c r="E27" s="5">
        <v>1</v>
      </c>
      <c r="F27" s="5">
        <v>1</v>
      </c>
      <c r="G27" s="5">
        <v>1</v>
      </c>
      <c r="H27" s="5">
        <v>0.7</v>
      </c>
      <c r="I27" s="5">
        <v>1</v>
      </c>
    </row>
    <row r="28" spans="1:9" x14ac:dyDescent="0.45">
      <c r="A28" s="17" t="s">
        <v>367</v>
      </c>
      <c r="B28" s="33"/>
      <c r="C28" s="6">
        <f t="shared" si="0"/>
        <v>1</v>
      </c>
      <c r="D28" s="5">
        <v>1</v>
      </c>
      <c r="E28" s="5">
        <v>1</v>
      </c>
      <c r="F28" s="5">
        <v>1</v>
      </c>
      <c r="G28" s="5">
        <v>1</v>
      </c>
      <c r="H28" s="5">
        <v>0.82</v>
      </c>
      <c r="I28" s="5">
        <v>1</v>
      </c>
    </row>
    <row r="29" spans="1:9" x14ac:dyDescent="0.45">
      <c r="A29" s="17" t="s">
        <v>368</v>
      </c>
      <c r="B29" s="33" t="s">
        <v>364</v>
      </c>
      <c r="C29" s="6">
        <f t="shared" si="0"/>
        <v>1</v>
      </c>
      <c r="D29" s="5">
        <v>1</v>
      </c>
      <c r="E29" s="5">
        <v>1</v>
      </c>
      <c r="F29" s="5">
        <v>1</v>
      </c>
      <c r="G29" s="5">
        <v>1</v>
      </c>
      <c r="H29" s="5">
        <v>0</v>
      </c>
      <c r="I29" s="5">
        <v>1</v>
      </c>
    </row>
    <row r="30" spans="1:9" x14ac:dyDescent="0.45">
      <c r="A30" s="17" t="s">
        <v>369</v>
      </c>
      <c r="B30" s="33"/>
      <c r="C30" s="6">
        <f t="shared" si="0"/>
        <v>1</v>
      </c>
      <c r="D30" s="5">
        <v>1</v>
      </c>
      <c r="E30" s="5">
        <v>1</v>
      </c>
      <c r="F30" s="5">
        <v>1</v>
      </c>
      <c r="G30" s="5">
        <v>1</v>
      </c>
      <c r="H30" s="5">
        <v>0.8</v>
      </c>
      <c r="I30" s="5">
        <v>1</v>
      </c>
    </row>
    <row r="31" spans="1:9" x14ac:dyDescent="0.45">
      <c r="A31" s="17" t="s">
        <v>370</v>
      </c>
      <c r="B31" s="33"/>
      <c r="C31" s="6">
        <f t="shared" si="0"/>
        <v>1</v>
      </c>
      <c r="D31" s="5">
        <v>1</v>
      </c>
      <c r="E31" s="5">
        <v>1</v>
      </c>
      <c r="F31" s="5">
        <v>1</v>
      </c>
      <c r="G31" s="5">
        <v>1</v>
      </c>
      <c r="H31" s="5">
        <v>0.8</v>
      </c>
      <c r="I31" s="5">
        <v>1</v>
      </c>
    </row>
    <row r="32" spans="1:9" x14ac:dyDescent="0.45">
      <c r="A32" s="17" t="s">
        <v>371</v>
      </c>
      <c r="B32" s="33"/>
      <c r="C32" s="6">
        <f t="shared" si="0"/>
        <v>1</v>
      </c>
      <c r="D32" s="5">
        <v>1</v>
      </c>
      <c r="E32" s="5">
        <v>1</v>
      </c>
      <c r="F32" s="5">
        <v>1</v>
      </c>
      <c r="G32" s="5">
        <v>1</v>
      </c>
      <c r="H32" s="5">
        <v>0.8</v>
      </c>
      <c r="I32" s="5">
        <v>1</v>
      </c>
    </row>
    <row r="33" spans="1:9" x14ac:dyDescent="0.45">
      <c r="A33" s="17" t="s">
        <v>372</v>
      </c>
      <c r="B33" s="33"/>
      <c r="C33" s="6">
        <f t="shared" si="0"/>
        <v>1</v>
      </c>
      <c r="D33" s="5">
        <v>1</v>
      </c>
      <c r="E33" s="5">
        <v>1</v>
      </c>
      <c r="F33" s="5">
        <v>1</v>
      </c>
      <c r="G33" s="5">
        <v>1</v>
      </c>
      <c r="H33" s="5">
        <v>0.8</v>
      </c>
      <c r="I33" s="5">
        <v>1</v>
      </c>
    </row>
    <row r="34" spans="1:9" x14ac:dyDescent="0.45">
      <c r="A34" s="17" t="s">
        <v>373</v>
      </c>
      <c r="B34" s="33"/>
      <c r="C34" s="6">
        <f t="shared" si="0"/>
        <v>1</v>
      </c>
      <c r="D34" s="5">
        <v>1</v>
      </c>
      <c r="E34" s="5">
        <v>1</v>
      </c>
      <c r="F34" s="5">
        <v>1</v>
      </c>
      <c r="G34" s="5">
        <v>1</v>
      </c>
      <c r="H34" s="5">
        <v>0.8</v>
      </c>
      <c r="I34" s="5">
        <v>1</v>
      </c>
    </row>
    <row r="35" spans="1:9" x14ac:dyDescent="0.45">
      <c r="A35" s="17" t="s">
        <v>374</v>
      </c>
      <c r="B35" s="33"/>
      <c r="C35" s="6">
        <f t="shared" si="0"/>
        <v>1</v>
      </c>
      <c r="D35" s="5">
        <v>1</v>
      </c>
      <c r="E35" s="5">
        <v>1</v>
      </c>
      <c r="F35" s="5">
        <v>1</v>
      </c>
      <c r="G35" s="5">
        <v>1</v>
      </c>
      <c r="H35" s="5">
        <v>0.8</v>
      </c>
      <c r="I35" s="5">
        <v>1</v>
      </c>
    </row>
    <row r="36" spans="1:9" x14ac:dyDescent="0.45">
      <c r="A36" s="17" t="s">
        <v>375</v>
      </c>
      <c r="B36" s="33" t="s">
        <v>364</v>
      </c>
      <c r="C36" s="6">
        <f t="shared" si="0"/>
        <v>1</v>
      </c>
      <c r="D36" s="5">
        <v>1</v>
      </c>
      <c r="E36" s="5">
        <v>1</v>
      </c>
      <c r="F36" s="5">
        <v>1</v>
      </c>
      <c r="G36" s="5">
        <v>1</v>
      </c>
      <c r="H36" s="5">
        <v>0</v>
      </c>
      <c r="I36" s="5">
        <v>1</v>
      </c>
    </row>
    <row r="37" spans="1:9" x14ac:dyDescent="0.45">
      <c r="A37" s="17" t="s">
        <v>376</v>
      </c>
      <c r="B37" s="33" t="s">
        <v>364</v>
      </c>
      <c r="C37" s="6">
        <f t="shared" si="0"/>
        <v>1</v>
      </c>
      <c r="D37" s="5">
        <v>1</v>
      </c>
      <c r="E37" s="5">
        <v>1</v>
      </c>
      <c r="F37" s="5">
        <v>1</v>
      </c>
      <c r="G37" s="5">
        <v>1</v>
      </c>
      <c r="H37" s="5">
        <v>0</v>
      </c>
      <c r="I37" s="5">
        <v>1</v>
      </c>
    </row>
    <row r="38" spans="1:9" x14ac:dyDescent="0.45">
      <c r="A38" s="17" t="s">
        <v>377</v>
      </c>
      <c r="B38" s="33" t="s">
        <v>364</v>
      </c>
      <c r="C38" s="6">
        <f t="shared" si="0"/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</row>
    <row r="39" spans="1:9" x14ac:dyDescent="0.45">
      <c r="A39" s="17" t="s">
        <v>64</v>
      </c>
      <c r="B39" s="33"/>
      <c r="C39" s="6">
        <f t="shared" si="0"/>
        <v>1</v>
      </c>
      <c r="D39" s="5">
        <v>1</v>
      </c>
      <c r="E39" s="5">
        <v>1</v>
      </c>
      <c r="F39" s="5">
        <v>1</v>
      </c>
      <c r="G39" s="5">
        <v>1</v>
      </c>
      <c r="H39" s="5">
        <v>1</v>
      </c>
      <c r="I39" s="5">
        <v>1</v>
      </c>
    </row>
    <row r="40" spans="1:9" x14ac:dyDescent="0.45">
      <c r="A40" s="17" t="s">
        <v>378</v>
      </c>
      <c r="B40" s="33"/>
      <c r="C40" s="6">
        <f t="shared" si="0"/>
        <v>0.9</v>
      </c>
      <c r="D40" s="5">
        <v>0.9</v>
      </c>
      <c r="E40" s="5">
        <v>0.9</v>
      </c>
      <c r="F40" s="5">
        <v>0.9</v>
      </c>
      <c r="G40" s="5">
        <v>0.9</v>
      </c>
      <c r="H40" s="5">
        <v>0.9</v>
      </c>
      <c r="I40" s="5">
        <v>0.9</v>
      </c>
    </row>
    <row r="41" spans="1:9" x14ac:dyDescent="0.45">
      <c r="A41" s="17" t="s">
        <v>379</v>
      </c>
      <c r="B41" s="33" t="s">
        <v>380</v>
      </c>
      <c r="C41" s="6">
        <f t="shared" si="0"/>
        <v>240</v>
      </c>
      <c r="D41" s="5">
        <v>240</v>
      </c>
      <c r="E41" s="5">
        <v>240</v>
      </c>
      <c r="F41" s="5">
        <v>240</v>
      </c>
      <c r="G41" s="5">
        <v>208</v>
      </c>
      <c r="H41" s="5">
        <v>220</v>
      </c>
      <c r="I41" s="5">
        <v>240</v>
      </c>
    </row>
    <row r="42" spans="1:9" x14ac:dyDescent="0.45">
      <c r="A42" s="17" t="s">
        <v>381</v>
      </c>
      <c r="B42" s="33"/>
      <c r="C42" s="6">
        <f t="shared" si="0"/>
        <v>1</v>
      </c>
      <c r="D42" s="5">
        <v>1</v>
      </c>
      <c r="E42" s="5">
        <v>1</v>
      </c>
      <c r="F42" s="5">
        <v>1</v>
      </c>
      <c r="G42" s="5">
        <v>3</v>
      </c>
      <c r="H42" s="5">
        <v>1</v>
      </c>
      <c r="I42" s="5">
        <v>1</v>
      </c>
    </row>
    <row r="43" spans="1:9" x14ac:dyDescent="0.45">
      <c r="A43" s="17" t="s">
        <v>382</v>
      </c>
      <c r="B43" s="33"/>
      <c r="C43" s="6">
        <f t="shared" si="0"/>
        <v>1.25</v>
      </c>
      <c r="D43" s="5">
        <v>1.25</v>
      </c>
      <c r="E43" s="5">
        <v>1.25</v>
      </c>
      <c r="F43" s="5">
        <v>1.25</v>
      </c>
      <c r="G43" s="5">
        <v>1.25</v>
      </c>
      <c r="H43" s="5">
        <v>1.25</v>
      </c>
      <c r="I43" s="5">
        <v>1.25</v>
      </c>
    </row>
    <row r="44" spans="1:9" x14ac:dyDescent="0.45">
      <c r="A44" s="17" t="s">
        <v>383</v>
      </c>
      <c r="B44" s="33" t="s">
        <v>384</v>
      </c>
      <c r="C44" s="6">
        <f t="shared" si="0"/>
        <v>20</v>
      </c>
      <c r="D44" s="5">
        <v>20</v>
      </c>
      <c r="E44" s="5">
        <v>20</v>
      </c>
      <c r="F44" s="5">
        <v>20</v>
      </c>
      <c r="G44" s="5">
        <v>20</v>
      </c>
      <c r="H44" s="5">
        <v>20</v>
      </c>
      <c r="I44" s="5">
        <v>20</v>
      </c>
    </row>
    <row r="47" spans="1:9" ht="15.75" x14ac:dyDescent="0.5">
      <c r="A47" s="34" t="s">
        <v>385</v>
      </c>
    </row>
    <row r="48" spans="1:9" x14ac:dyDescent="0.45">
      <c r="A48" s="7" t="s">
        <v>386</v>
      </c>
      <c r="B48" s="7" t="s">
        <v>387</v>
      </c>
    </row>
    <row r="49" spans="1:2" x14ac:dyDescent="0.45">
      <c r="A49" s="5">
        <v>3000</v>
      </c>
      <c r="B49" s="5">
        <v>1</v>
      </c>
    </row>
    <row r="50" spans="1:2" x14ac:dyDescent="0.45">
      <c r="A50" s="5">
        <v>120000</v>
      </c>
      <c r="B50" s="5">
        <v>0.35</v>
      </c>
    </row>
    <row r="51" spans="1:2" x14ac:dyDescent="0.45">
      <c r="A51" s="5" t="s">
        <v>388</v>
      </c>
      <c r="B51" s="5">
        <v>0.25</v>
      </c>
    </row>
    <row r="54" spans="1:2" ht="15.75" x14ac:dyDescent="0.5">
      <c r="A54" s="34" t="s">
        <v>389</v>
      </c>
    </row>
    <row r="55" spans="1:2" x14ac:dyDescent="0.45">
      <c r="A55" s="7" t="s">
        <v>386</v>
      </c>
      <c r="B55" s="7" t="s">
        <v>387</v>
      </c>
    </row>
    <row r="56" spans="1:2" x14ac:dyDescent="0.45">
      <c r="A56" s="5">
        <v>10000</v>
      </c>
      <c r="B56" s="5">
        <v>1</v>
      </c>
    </row>
    <row r="57" spans="1:2" x14ac:dyDescent="0.45">
      <c r="A57" s="5" t="s">
        <v>388</v>
      </c>
      <c r="B57" s="5">
        <v>0.5</v>
      </c>
    </row>
    <row r="60" spans="1:2" ht="15.75" x14ac:dyDescent="0.5">
      <c r="A60" s="34" t="s">
        <v>390</v>
      </c>
    </row>
    <row r="61" spans="1:2" x14ac:dyDescent="0.45">
      <c r="A61" s="7" t="s">
        <v>391</v>
      </c>
      <c r="B61" s="7" t="s">
        <v>387</v>
      </c>
    </row>
    <row r="62" spans="1:2" x14ac:dyDescent="0.45">
      <c r="A62" s="5">
        <v>1</v>
      </c>
      <c r="B62" s="5">
        <v>1</v>
      </c>
    </row>
    <row r="63" spans="1:2" x14ac:dyDescent="0.45">
      <c r="A63" s="5">
        <v>2</v>
      </c>
      <c r="B63" s="5">
        <v>0.95</v>
      </c>
    </row>
    <row r="64" spans="1:2" x14ac:dyDescent="0.45">
      <c r="A64" s="5">
        <v>3</v>
      </c>
      <c r="B64" s="5">
        <v>0.9</v>
      </c>
    </row>
    <row r="65" spans="1:2" x14ac:dyDescent="0.45">
      <c r="A65" s="5">
        <v>4</v>
      </c>
      <c r="B65" s="5">
        <v>0.85</v>
      </c>
    </row>
    <row r="66" spans="1:2" x14ac:dyDescent="0.45">
      <c r="A66" s="5">
        <v>5</v>
      </c>
      <c r="B66" s="5">
        <v>0.82</v>
      </c>
    </row>
    <row r="67" spans="1:2" x14ac:dyDescent="0.45">
      <c r="A67" s="5">
        <v>6</v>
      </c>
      <c r="B67" s="5">
        <v>0.79</v>
      </c>
    </row>
    <row r="68" spans="1:2" x14ac:dyDescent="0.45">
      <c r="A68" s="5">
        <v>7</v>
      </c>
      <c r="B68" s="5">
        <v>0.77</v>
      </c>
    </row>
    <row r="69" spans="1:2" x14ac:dyDescent="0.45">
      <c r="A69" s="5">
        <v>8</v>
      </c>
      <c r="B69" s="5">
        <v>0.75</v>
      </c>
    </row>
    <row r="70" spans="1:2" x14ac:dyDescent="0.45">
      <c r="A70" s="5">
        <v>9</v>
      </c>
      <c r="B70" s="5">
        <v>0.73</v>
      </c>
    </row>
    <row r="71" spans="1:2" x14ac:dyDescent="0.45">
      <c r="A71" s="5">
        <v>9999</v>
      </c>
      <c r="B71" s="5">
        <v>0.72</v>
      </c>
    </row>
    <row r="74" spans="1:2" ht="15.75" x14ac:dyDescent="0.5">
      <c r="A74" s="34" t="s">
        <v>392</v>
      </c>
    </row>
    <row r="75" spans="1:2" x14ac:dyDescent="0.45">
      <c r="A75" s="7" t="s">
        <v>393</v>
      </c>
      <c r="B75" s="7" t="s">
        <v>387</v>
      </c>
    </row>
    <row r="76" spans="1:2" x14ac:dyDescent="0.45">
      <c r="A76" s="5">
        <v>5</v>
      </c>
      <c r="B76" s="5">
        <v>0.45</v>
      </c>
    </row>
    <row r="77" spans="1:2" x14ac:dyDescent="0.45">
      <c r="A77" s="5">
        <v>7</v>
      </c>
      <c r="B77" s="5">
        <v>0.44</v>
      </c>
    </row>
    <row r="78" spans="1:2" x14ac:dyDescent="0.45">
      <c r="A78" s="5">
        <v>10</v>
      </c>
      <c r="B78" s="5">
        <v>0.43</v>
      </c>
    </row>
    <row r="79" spans="1:2" x14ac:dyDescent="0.45">
      <c r="A79" s="5">
        <v>11</v>
      </c>
      <c r="B79" s="5">
        <v>0.42</v>
      </c>
    </row>
    <row r="80" spans="1:2" x14ac:dyDescent="0.45">
      <c r="A80" s="5">
        <v>13</v>
      </c>
      <c r="B80" s="5">
        <v>0.41</v>
      </c>
    </row>
    <row r="81" spans="1:2" x14ac:dyDescent="0.45">
      <c r="A81" s="5">
        <v>15</v>
      </c>
      <c r="B81" s="5">
        <v>0.4</v>
      </c>
    </row>
    <row r="82" spans="1:2" x14ac:dyDescent="0.45">
      <c r="A82" s="5">
        <v>17</v>
      </c>
      <c r="B82" s="5">
        <v>0.39</v>
      </c>
    </row>
    <row r="83" spans="1:2" x14ac:dyDescent="0.45">
      <c r="A83" s="5">
        <v>19</v>
      </c>
      <c r="B83" s="5">
        <v>0.38</v>
      </c>
    </row>
    <row r="84" spans="1:2" x14ac:dyDescent="0.45">
      <c r="A84" s="5">
        <v>20</v>
      </c>
      <c r="B84" s="5">
        <v>0.37</v>
      </c>
    </row>
    <row r="85" spans="1:2" x14ac:dyDescent="0.45">
      <c r="A85" s="5">
        <v>21</v>
      </c>
      <c r="B85" s="5">
        <v>0.36</v>
      </c>
    </row>
    <row r="86" spans="1:2" x14ac:dyDescent="0.45">
      <c r="A86" s="5">
        <v>23</v>
      </c>
      <c r="B86" s="5">
        <v>0.35</v>
      </c>
    </row>
    <row r="87" spans="1:2" x14ac:dyDescent="0.45">
      <c r="A87" s="5">
        <v>25</v>
      </c>
      <c r="B87" s="5">
        <v>0.34</v>
      </c>
    </row>
    <row r="88" spans="1:2" x14ac:dyDescent="0.45">
      <c r="A88" s="5">
        <v>27</v>
      </c>
      <c r="B88" s="5">
        <v>0.33</v>
      </c>
    </row>
    <row r="89" spans="1:2" x14ac:dyDescent="0.45">
      <c r="A89" s="5">
        <v>30</v>
      </c>
      <c r="B89" s="5">
        <v>0.32</v>
      </c>
    </row>
    <row r="90" spans="1:2" x14ac:dyDescent="0.45">
      <c r="A90" s="5">
        <v>31</v>
      </c>
      <c r="B90" s="5">
        <v>0.31</v>
      </c>
    </row>
    <row r="91" spans="1:2" x14ac:dyDescent="0.45">
      <c r="A91" s="5">
        <v>33</v>
      </c>
      <c r="B91" s="5">
        <v>0.3</v>
      </c>
    </row>
    <row r="92" spans="1:2" x14ac:dyDescent="0.45">
      <c r="A92" s="5">
        <v>36</v>
      </c>
      <c r="B92" s="5">
        <v>0.28999999999999998</v>
      </c>
    </row>
    <row r="93" spans="1:2" x14ac:dyDescent="0.45">
      <c r="A93" s="5">
        <v>38</v>
      </c>
      <c r="B93" s="5">
        <v>0.28000000000000003</v>
      </c>
    </row>
    <row r="94" spans="1:2" x14ac:dyDescent="0.45">
      <c r="A94" s="5">
        <v>42</v>
      </c>
      <c r="B94" s="5">
        <v>0.27</v>
      </c>
    </row>
    <row r="95" spans="1:2" x14ac:dyDescent="0.45">
      <c r="A95" s="5">
        <v>45</v>
      </c>
      <c r="B95" s="5">
        <v>0.26</v>
      </c>
    </row>
    <row r="96" spans="1:2" x14ac:dyDescent="0.45">
      <c r="A96" s="5">
        <v>50</v>
      </c>
      <c r="B96" s="5">
        <v>0.25</v>
      </c>
    </row>
    <row r="97" spans="1:2" x14ac:dyDescent="0.45">
      <c r="A97" s="5">
        <v>55</v>
      </c>
      <c r="B97" s="5">
        <v>0.24</v>
      </c>
    </row>
    <row r="98" spans="1:2" x14ac:dyDescent="0.45">
      <c r="A98" s="5">
        <v>61</v>
      </c>
      <c r="B98" s="5">
        <v>0.23</v>
      </c>
    </row>
    <row r="99" spans="1:2" x14ac:dyDescent="0.45">
      <c r="A99" s="5">
        <v>9999</v>
      </c>
      <c r="B99" s="5">
        <v>0.22</v>
      </c>
    </row>
    <row r="102" spans="1:2" ht="15.75" x14ac:dyDescent="0.5">
      <c r="A102" s="34" t="s">
        <v>394</v>
      </c>
    </row>
    <row r="103" spans="1:2" x14ac:dyDescent="0.45">
      <c r="A103" s="7" t="s">
        <v>119</v>
      </c>
    </row>
    <row r="104" spans="1:2" x14ac:dyDescent="0.45">
      <c r="A104" s="5">
        <v>15</v>
      </c>
    </row>
    <row r="105" spans="1:2" x14ac:dyDescent="0.45">
      <c r="A105" s="5">
        <v>20</v>
      </c>
    </row>
    <row r="106" spans="1:2" x14ac:dyDescent="0.45">
      <c r="A106" s="5">
        <v>25</v>
      </c>
    </row>
    <row r="107" spans="1:2" x14ac:dyDescent="0.45">
      <c r="A107" s="5">
        <v>30</v>
      </c>
    </row>
    <row r="108" spans="1:2" x14ac:dyDescent="0.45">
      <c r="A108" s="5">
        <v>35</v>
      </c>
    </row>
    <row r="109" spans="1:2" x14ac:dyDescent="0.45">
      <c r="A109" s="5">
        <v>40</v>
      </c>
    </row>
    <row r="110" spans="1:2" x14ac:dyDescent="0.45">
      <c r="A110" s="5">
        <v>45</v>
      </c>
    </row>
    <row r="111" spans="1:2" x14ac:dyDescent="0.45">
      <c r="A111" s="5">
        <v>50</v>
      </c>
    </row>
    <row r="112" spans="1:2" x14ac:dyDescent="0.45">
      <c r="A112" s="5">
        <v>60</v>
      </c>
    </row>
    <row r="113" spans="1:1" x14ac:dyDescent="0.45">
      <c r="A113" s="5">
        <v>70</v>
      </c>
    </row>
    <row r="114" spans="1:1" x14ac:dyDescent="0.45">
      <c r="A114" s="5">
        <v>80</v>
      </c>
    </row>
    <row r="115" spans="1:1" x14ac:dyDescent="0.45">
      <c r="A115" s="5">
        <v>90</v>
      </c>
    </row>
    <row r="116" spans="1:1" x14ac:dyDescent="0.45">
      <c r="A116" s="5">
        <v>100</v>
      </c>
    </row>
    <row r="117" spans="1:1" x14ac:dyDescent="0.45">
      <c r="A117" s="5">
        <v>110</v>
      </c>
    </row>
    <row r="118" spans="1:1" x14ac:dyDescent="0.45">
      <c r="A118" s="5">
        <v>125</v>
      </c>
    </row>
    <row r="119" spans="1:1" x14ac:dyDescent="0.45">
      <c r="A119" s="5">
        <v>150</v>
      </c>
    </row>
    <row r="120" spans="1:1" x14ac:dyDescent="0.45">
      <c r="A120" s="5">
        <v>175</v>
      </c>
    </row>
    <row r="121" spans="1:1" x14ac:dyDescent="0.45">
      <c r="A121" s="5">
        <v>200</v>
      </c>
    </row>
    <row r="122" spans="1:1" x14ac:dyDescent="0.45">
      <c r="A122" s="5">
        <v>225</v>
      </c>
    </row>
    <row r="123" spans="1:1" x14ac:dyDescent="0.45">
      <c r="A123" s="5">
        <v>250</v>
      </c>
    </row>
    <row r="124" spans="1:1" x14ac:dyDescent="0.45">
      <c r="A124" s="5">
        <v>300</v>
      </c>
    </row>
    <row r="125" spans="1:1" x14ac:dyDescent="0.45">
      <c r="A125" s="5">
        <v>350</v>
      </c>
    </row>
    <row r="126" spans="1:1" x14ac:dyDescent="0.45">
      <c r="A126" s="5">
        <v>400</v>
      </c>
    </row>
    <row r="127" spans="1:1" x14ac:dyDescent="0.45">
      <c r="A127" s="5">
        <v>450</v>
      </c>
    </row>
    <row r="128" spans="1:1" x14ac:dyDescent="0.45">
      <c r="A128" s="5">
        <v>500</v>
      </c>
    </row>
    <row r="129" spans="1:1" x14ac:dyDescent="0.45">
      <c r="A129" s="5">
        <v>600</v>
      </c>
    </row>
    <row r="130" spans="1:1" x14ac:dyDescent="0.45">
      <c r="A130" s="5">
        <v>700</v>
      </c>
    </row>
    <row r="131" spans="1:1" x14ac:dyDescent="0.45">
      <c r="A131" s="5">
        <v>800</v>
      </c>
    </row>
    <row r="132" spans="1:1" x14ac:dyDescent="0.45">
      <c r="A132" s="5">
        <v>1000</v>
      </c>
    </row>
    <row r="133" spans="1:1" x14ac:dyDescent="0.45">
      <c r="A133" s="5">
        <v>1200</v>
      </c>
    </row>
    <row r="134" spans="1:1" x14ac:dyDescent="0.45">
      <c r="A134" s="5">
        <v>1600</v>
      </c>
    </row>
    <row r="135" spans="1:1" x14ac:dyDescent="0.45">
      <c r="A135" s="5">
        <v>2000</v>
      </c>
    </row>
    <row r="136" spans="1:1" x14ac:dyDescent="0.45">
      <c r="A136" s="5">
        <v>2500</v>
      </c>
    </row>
    <row r="137" spans="1:1" x14ac:dyDescent="0.45">
      <c r="A137" s="5">
        <v>3000</v>
      </c>
    </row>
    <row r="138" spans="1:1" x14ac:dyDescent="0.45">
      <c r="A138" s="5">
        <v>4000</v>
      </c>
    </row>
    <row r="139" spans="1:1" x14ac:dyDescent="0.45">
      <c r="A139" s="5">
        <v>5000</v>
      </c>
    </row>
    <row r="140" spans="1:1" x14ac:dyDescent="0.45">
      <c r="A140" s="5">
        <v>6000</v>
      </c>
    </row>
    <row r="143" spans="1:1" ht="15.75" x14ac:dyDescent="0.5">
      <c r="A143" s="34" t="s">
        <v>395</v>
      </c>
    </row>
    <row r="144" spans="1:1" x14ac:dyDescent="0.45">
      <c r="A144" s="7" t="s">
        <v>396</v>
      </c>
    </row>
    <row r="145" spans="1:1" x14ac:dyDescent="0.45">
      <c r="A145" s="5">
        <v>15</v>
      </c>
    </row>
    <row r="146" spans="1:1" x14ac:dyDescent="0.45">
      <c r="A146" s="5">
        <v>30</v>
      </c>
    </row>
    <row r="147" spans="1:1" x14ac:dyDescent="0.45">
      <c r="A147" s="5">
        <v>45</v>
      </c>
    </row>
    <row r="148" spans="1:1" x14ac:dyDescent="0.45">
      <c r="A148" s="5">
        <v>75</v>
      </c>
    </row>
    <row r="149" spans="1:1" x14ac:dyDescent="0.45">
      <c r="A149" s="5">
        <v>112.5</v>
      </c>
    </row>
    <row r="150" spans="1:1" x14ac:dyDescent="0.45">
      <c r="A150" s="5">
        <v>150</v>
      </c>
    </row>
    <row r="151" spans="1:1" x14ac:dyDescent="0.45">
      <c r="A151" s="5">
        <v>225</v>
      </c>
    </row>
    <row r="152" spans="1:1" x14ac:dyDescent="0.45">
      <c r="A152" s="5">
        <v>300</v>
      </c>
    </row>
    <row r="153" spans="1:1" x14ac:dyDescent="0.45">
      <c r="A153" s="5">
        <v>500</v>
      </c>
    </row>
    <row r="154" spans="1:1" x14ac:dyDescent="0.45">
      <c r="A154" s="5">
        <v>750</v>
      </c>
    </row>
    <row r="155" spans="1:1" x14ac:dyDescent="0.45">
      <c r="A155" s="5">
        <v>1000</v>
      </c>
    </row>
    <row r="156" spans="1:1" x14ac:dyDescent="0.45">
      <c r="A156" s="5">
        <v>1500</v>
      </c>
    </row>
    <row r="157" spans="1:1" x14ac:dyDescent="0.45">
      <c r="A157" s="5">
        <v>2000</v>
      </c>
    </row>
    <row r="158" spans="1:1" x14ac:dyDescent="0.45">
      <c r="A158" s="5">
        <v>2500</v>
      </c>
    </row>
    <row r="159" spans="1:1" x14ac:dyDescent="0.45">
      <c r="A159" s="5">
        <v>3000</v>
      </c>
    </row>
    <row r="162" spans="1:3" ht="15.75" x14ac:dyDescent="0.5">
      <c r="A162" s="34" t="s">
        <v>397</v>
      </c>
    </row>
    <row r="163" spans="1:3" x14ac:dyDescent="0.45">
      <c r="A163" s="7" t="s">
        <v>120</v>
      </c>
      <c r="B163" s="7" t="s">
        <v>398</v>
      </c>
      <c r="C163" s="7" t="s">
        <v>399</v>
      </c>
    </row>
    <row r="164" spans="1:3" x14ac:dyDescent="0.45">
      <c r="A164" s="5">
        <v>30</v>
      </c>
      <c r="B164" s="5" t="s">
        <v>400</v>
      </c>
      <c r="C164" s="5" t="s">
        <v>400</v>
      </c>
    </row>
    <row r="165" spans="1:3" x14ac:dyDescent="0.45">
      <c r="A165" s="5">
        <v>40</v>
      </c>
      <c r="B165" s="5" t="s">
        <v>401</v>
      </c>
      <c r="C165" s="5" t="s">
        <v>402</v>
      </c>
    </row>
    <row r="166" spans="1:3" x14ac:dyDescent="0.45">
      <c r="A166" s="5">
        <v>50</v>
      </c>
      <c r="B166" s="5" t="s">
        <v>402</v>
      </c>
      <c r="C166" s="5" t="s">
        <v>403</v>
      </c>
    </row>
    <row r="167" spans="1:3" x14ac:dyDescent="0.45">
      <c r="A167" s="5">
        <v>60</v>
      </c>
      <c r="B167" s="5" t="s">
        <v>403</v>
      </c>
      <c r="C167" s="5" t="s">
        <v>404</v>
      </c>
    </row>
    <row r="168" spans="1:3" x14ac:dyDescent="0.45">
      <c r="A168" s="5">
        <v>70</v>
      </c>
      <c r="B168" s="5" t="s">
        <v>403</v>
      </c>
      <c r="C168" s="5" t="s">
        <v>404</v>
      </c>
    </row>
    <row r="169" spans="1:3" x14ac:dyDescent="0.45">
      <c r="A169" s="5">
        <v>80</v>
      </c>
      <c r="B169" s="5" t="s">
        <v>404</v>
      </c>
      <c r="C169" s="5" t="s">
        <v>364</v>
      </c>
    </row>
    <row r="170" spans="1:3" x14ac:dyDescent="0.45">
      <c r="A170" s="5">
        <v>90</v>
      </c>
      <c r="B170" s="5" t="s">
        <v>404</v>
      </c>
      <c r="C170" s="5" t="s">
        <v>364</v>
      </c>
    </row>
    <row r="171" spans="1:3" x14ac:dyDescent="0.45">
      <c r="A171" s="5">
        <v>100</v>
      </c>
      <c r="B171" s="5" t="s">
        <v>364</v>
      </c>
      <c r="C171" s="5" t="s">
        <v>364</v>
      </c>
    </row>
    <row r="172" spans="1:3" x14ac:dyDescent="0.45">
      <c r="A172" s="5">
        <v>125</v>
      </c>
      <c r="B172" s="5" t="s">
        <v>364</v>
      </c>
      <c r="C172" s="5" t="s">
        <v>405</v>
      </c>
    </row>
    <row r="173" spans="1:3" x14ac:dyDescent="0.45">
      <c r="A173" s="5">
        <v>150</v>
      </c>
      <c r="B173" s="5" t="s">
        <v>364</v>
      </c>
      <c r="C173" s="5" t="s">
        <v>406</v>
      </c>
    </row>
    <row r="174" spans="1:3" x14ac:dyDescent="0.45">
      <c r="A174" s="5">
        <v>175</v>
      </c>
      <c r="B174" s="5" t="s">
        <v>405</v>
      </c>
      <c r="C174" s="5" t="s">
        <v>407</v>
      </c>
    </row>
    <row r="175" spans="1:3" x14ac:dyDescent="0.45">
      <c r="A175" s="5">
        <v>200</v>
      </c>
      <c r="B175" s="5" t="s">
        <v>406</v>
      </c>
      <c r="C175" s="5" t="s">
        <v>408</v>
      </c>
    </row>
    <row r="176" spans="1:3" x14ac:dyDescent="0.45">
      <c r="A176" s="5">
        <v>225</v>
      </c>
      <c r="B176" s="5" t="s">
        <v>407</v>
      </c>
      <c r="C176" s="5" t="s">
        <v>409</v>
      </c>
    </row>
    <row r="177" spans="1:6" x14ac:dyDescent="0.45">
      <c r="A177" s="5">
        <v>250</v>
      </c>
      <c r="B177" s="5" t="s">
        <v>408</v>
      </c>
      <c r="C177" s="5" t="s">
        <v>410</v>
      </c>
    </row>
    <row r="178" spans="1:6" x14ac:dyDescent="0.45">
      <c r="A178" s="5">
        <v>300</v>
      </c>
      <c r="B178" s="5" t="s">
        <v>410</v>
      </c>
      <c r="C178" s="5" t="s">
        <v>411</v>
      </c>
    </row>
    <row r="179" spans="1:6" x14ac:dyDescent="0.45">
      <c r="A179" s="5">
        <v>350</v>
      </c>
      <c r="B179" s="5" t="s">
        <v>410</v>
      </c>
      <c r="C179" s="5" t="s">
        <v>412</v>
      </c>
    </row>
    <row r="180" spans="1:6" x14ac:dyDescent="0.45">
      <c r="A180" s="5">
        <v>400</v>
      </c>
      <c r="B180" s="5" t="s">
        <v>413</v>
      </c>
      <c r="C180" s="5" t="s">
        <v>414</v>
      </c>
    </row>
    <row r="181" spans="1:6" x14ac:dyDescent="0.45">
      <c r="A181" s="5">
        <v>500</v>
      </c>
      <c r="B181" s="5" t="s">
        <v>412</v>
      </c>
      <c r="C181" s="5" t="s">
        <v>415</v>
      </c>
    </row>
    <row r="182" spans="1:6" x14ac:dyDescent="0.45">
      <c r="A182" s="5">
        <v>600</v>
      </c>
      <c r="B182" s="5" t="s">
        <v>414</v>
      </c>
      <c r="C182" s="5" t="s">
        <v>414</v>
      </c>
    </row>
    <row r="183" spans="1:6" x14ac:dyDescent="0.45">
      <c r="A183" s="5">
        <v>700</v>
      </c>
      <c r="B183" s="5" t="s">
        <v>416</v>
      </c>
      <c r="C183" s="5" t="s">
        <v>415</v>
      </c>
    </row>
    <row r="186" spans="1:6" ht="15.75" x14ac:dyDescent="0.5">
      <c r="A186" s="34" t="s">
        <v>417</v>
      </c>
    </row>
    <row r="187" spans="1:6" ht="42.75" x14ac:dyDescent="0.45">
      <c r="A187" s="7" t="s">
        <v>295</v>
      </c>
      <c r="B187" s="7" t="s">
        <v>418</v>
      </c>
      <c r="C187" s="7" t="s">
        <v>419</v>
      </c>
      <c r="D187" s="7" t="s">
        <v>420</v>
      </c>
      <c r="E187" s="7" t="s">
        <v>421</v>
      </c>
      <c r="F187" s="7" t="s">
        <v>422</v>
      </c>
    </row>
    <row r="188" spans="1:6" x14ac:dyDescent="0.45">
      <c r="A188" s="5" t="s">
        <v>312</v>
      </c>
      <c r="B188" s="5">
        <v>5</v>
      </c>
      <c r="C188" s="5">
        <v>0</v>
      </c>
      <c r="D188" s="5">
        <v>1</v>
      </c>
      <c r="E188" s="5">
        <v>4</v>
      </c>
      <c r="F188" s="5">
        <v>4.4000000000000004</v>
      </c>
    </row>
    <row r="189" spans="1:6" x14ac:dyDescent="0.45">
      <c r="A189" s="5" t="s">
        <v>314</v>
      </c>
      <c r="B189" s="5">
        <v>5</v>
      </c>
      <c r="C189" s="5">
        <v>0</v>
      </c>
      <c r="D189" s="5">
        <v>1</v>
      </c>
      <c r="E189" s="5">
        <v>10</v>
      </c>
      <c r="F189" s="5">
        <v>5.3</v>
      </c>
    </row>
    <row r="190" spans="1:6" x14ac:dyDescent="0.45">
      <c r="A190" s="5" t="s">
        <v>423</v>
      </c>
      <c r="B190" s="5">
        <v>15</v>
      </c>
      <c r="C190" s="5">
        <v>10</v>
      </c>
      <c r="D190" s="5">
        <v>30</v>
      </c>
      <c r="E190" s="5">
        <v>150</v>
      </c>
      <c r="F190" s="5">
        <v>4.5999999999999996</v>
      </c>
    </row>
    <row r="191" spans="1:6" x14ac:dyDescent="0.45">
      <c r="A191" s="5" t="s">
        <v>424</v>
      </c>
      <c r="B191" s="5">
        <v>15</v>
      </c>
      <c r="C191" s="5">
        <v>10</v>
      </c>
      <c r="D191" s="5">
        <v>30</v>
      </c>
      <c r="E191" s="5">
        <v>70</v>
      </c>
      <c r="F191" s="5">
        <v>4.5999999999999996</v>
      </c>
    </row>
    <row r="192" spans="1:6" x14ac:dyDescent="0.45">
      <c r="A192" s="5" t="s">
        <v>425</v>
      </c>
      <c r="B192" s="5">
        <v>12</v>
      </c>
      <c r="C192" s="5">
        <v>1</v>
      </c>
      <c r="D192" s="5">
        <v>15</v>
      </c>
      <c r="E192" s="5">
        <v>50</v>
      </c>
      <c r="F192" s="5"/>
    </row>
    <row r="193" spans="1:6" x14ac:dyDescent="0.45">
      <c r="A193" s="5" t="s">
        <v>426</v>
      </c>
      <c r="B193" s="5">
        <v>22</v>
      </c>
      <c r="C193" s="5">
        <v>0</v>
      </c>
      <c r="D193" s="5">
        <v>1</v>
      </c>
      <c r="E193" s="5">
        <v>0</v>
      </c>
      <c r="F193" s="5">
        <v>4.4000000000000004</v>
      </c>
    </row>
    <row r="194" spans="1:6" x14ac:dyDescent="0.45">
      <c r="A194" s="5" t="s">
        <v>427</v>
      </c>
      <c r="B194" s="5">
        <v>39</v>
      </c>
      <c r="C194" s="5">
        <v>0</v>
      </c>
      <c r="D194" s="5">
        <v>11</v>
      </c>
      <c r="E194" s="5">
        <v>0</v>
      </c>
      <c r="F194" s="5"/>
    </row>
    <row r="195" spans="1:6" x14ac:dyDescent="0.45">
      <c r="A195" s="5" t="s">
        <v>428</v>
      </c>
      <c r="B195" s="5">
        <v>33</v>
      </c>
      <c r="C195" s="5">
        <v>0</v>
      </c>
      <c r="D195" s="5">
        <v>1</v>
      </c>
      <c r="E195" s="5">
        <v>0</v>
      </c>
      <c r="F195" s="5"/>
    </row>
    <row r="196" spans="1:6" x14ac:dyDescent="0.45">
      <c r="A196" s="5" t="s">
        <v>429</v>
      </c>
      <c r="B196" s="5">
        <v>5</v>
      </c>
      <c r="C196" s="5">
        <v>0</v>
      </c>
      <c r="D196" s="5">
        <v>1</v>
      </c>
      <c r="E196" s="5">
        <v>0</v>
      </c>
      <c r="F196" s="5">
        <v>1.6</v>
      </c>
    </row>
    <row r="197" spans="1:6" x14ac:dyDescent="0.45">
      <c r="A197" s="5" t="s">
        <v>430</v>
      </c>
      <c r="B197" s="5">
        <v>3</v>
      </c>
      <c r="C197" s="5">
        <v>0</v>
      </c>
      <c r="D197" s="5">
        <v>1</v>
      </c>
      <c r="E197" s="5">
        <v>0</v>
      </c>
      <c r="F197" s="5">
        <v>4.0999999999999996</v>
      </c>
    </row>
    <row r="198" spans="1:6" x14ac:dyDescent="0.45">
      <c r="A198" s="5" t="s">
        <v>431</v>
      </c>
      <c r="B198" s="5">
        <v>11</v>
      </c>
      <c r="C198" s="5">
        <v>0</v>
      </c>
      <c r="D198" s="5">
        <v>1</v>
      </c>
      <c r="E198" s="5">
        <v>0</v>
      </c>
      <c r="F198" s="5"/>
    </row>
    <row r="199" spans="1:6" x14ac:dyDescent="0.45">
      <c r="A199" s="5" t="s">
        <v>432</v>
      </c>
      <c r="B199" s="5">
        <v>22</v>
      </c>
      <c r="C199" s="5">
        <v>0</v>
      </c>
      <c r="D199" s="5">
        <v>1</v>
      </c>
      <c r="E199" s="5">
        <v>0</v>
      </c>
      <c r="F199" s="5"/>
    </row>
    <row r="200" spans="1:6" x14ac:dyDescent="0.45">
      <c r="A200" s="5" t="s">
        <v>433</v>
      </c>
      <c r="B200" s="5">
        <v>33</v>
      </c>
      <c r="C200" s="5">
        <v>0</v>
      </c>
      <c r="D200" s="5">
        <v>1</v>
      </c>
      <c r="E200" s="5">
        <v>0</v>
      </c>
      <c r="F200" s="5"/>
    </row>
    <row r="201" spans="1:6" x14ac:dyDescent="0.45">
      <c r="A201" s="5" t="s">
        <v>434</v>
      </c>
      <c r="B201" s="5">
        <v>22</v>
      </c>
      <c r="C201" s="5">
        <v>0</v>
      </c>
      <c r="D201" s="5">
        <v>1</v>
      </c>
      <c r="E201" s="5">
        <v>0</v>
      </c>
      <c r="F201" s="5"/>
    </row>
    <row r="202" spans="1:6" x14ac:dyDescent="0.45">
      <c r="A202" s="5" t="s">
        <v>435</v>
      </c>
      <c r="B202" s="5">
        <v>3</v>
      </c>
      <c r="C202" s="5">
        <v>0</v>
      </c>
      <c r="D202" s="5">
        <v>1</v>
      </c>
      <c r="E202" s="5">
        <v>0</v>
      </c>
      <c r="F202" s="5">
        <v>4.0999999999999996</v>
      </c>
    </row>
    <row r="203" spans="1:6" x14ac:dyDescent="0.45">
      <c r="A203" s="5" t="s">
        <v>436</v>
      </c>
      <c r="B203" s="5">
        <v>10</v>
      </c>
      <c r="C203" s="5">
        <v>0</v>
      </c>
      <c r="D203" s="5">
        <v>1</v>
      </c>
      <c r="E203" s="5">
        <v>0</v>
      </c>
      <c r="F203" s="5"/>
    </row>
    <row r="204" spans="1:6" x14ac:dyDescent="0.45">
      <c r="A204" s="5"/>
      <c r="B204" s="5"/>
      <c r="C204" s="5"/>
      <c r="D204" s="5"/>
      <c r="E204" s="5"/>
      <c r="F204" s="5"/>
    </row>
    <row r="205" spans="1:6" x14ac:dyDescent="0.45">
      <c r="A205" s="5"/>
      <c r="B205" s="5"/>
      <c r="C205" s="5"/>
      <c r="D205" s="5"/>
      <c r="E205" s="5"/>
      <c r="F205" s="5"/>
    </row>
    <row r="206" spans="1:6" x14ac:dyDescent="0.45">
      <c r="A206" s="5"/>
      <c r="B206" s="5"/>
      <c r="C206" s="5"/>
      <c r="D206" s="5"/>
      <c r="E206" s="5"/>
      <c r="F206" s="5"/>
    </row>
    <row r="207" spans="1:6" x14ac:dyDescent="0.45">
      <c r="A207" s="5"/>
      <c r="B207" s="5"/>
      <c r="C207" s="5"/>
      <c r="D207" s="5"/>
      <c r="E207" s="5"/>
      <c r="F207" s="5"/>
    </row>
    <row r="208" spans="1:6" x14ac:dyDescent="0.45">
      <c r="A208" s="5"/>
      <c r="B208" s="5"/>
      <c r="C208" s="5"/>
      <c r="D208" s="5"/>
      <c r="E208" s="5"/>
      <c r="F208" s="5"/>
    </row>
    <row r="209" spans="1:6" x14ac:dyDescent="0.45">
      <c r="A209" s="5"/>
      <c r="B209" s="5"/>
      <c r="C209" s="5"/>
      <c r="D209" s="5"/>
      <c r="E209" s="5"/>
      <c r="F209" s="5"/>
    </row>
    <row r="212" spans="1:6" ht="15.75" x14ac:dyDescent="0.5">
      <c r="A212" s="34" t="s">
        <v>437</v>
      </c>
    </row>
    <row r="213" spans="1:6" x14ac:dyDescent="0.45">
      <c r="A213" s="7" t="s">
        <v>438</v>
      </c>
      <c r="B213" s="7" t="s">
        <v>396</v>
      </c>
      <c r="C213" s="7" t="s">
        <v>439</v>
      </c>
    </row>
    <row r="214" spans="1:6" x14ac:dyDescent="0.45">
      <c r="A214" s="5" t="s">
        <v>141</v>
      </c>
      <c r="B214" s="5">
        <v>1.2</v>
      </c>
      <c r="C214" s="5" t="s">
        <v>440</v>
      </c>
    </row>
    <row r="215" spans="1:6" x14ac:dyDescent="0.45">
      <c r="A215" s="5" t="s">
        <v>168</v>
      </c>
      <c r="B215" s="5">
        <v>10.8</v>
      </c>
      <c r="C215" s="5" t="s">
        <v>441</v>
      </c>
    </row>
    <row r="216" spans="1:6" x14ac:dyDescent="0.45">
      <c r="A216" s="5" t="s">
        <v>442</v>
      </c>
      <c r="B216" s="5">
        <v>10.8</v>
      </c>
      <c r="C216" s="5" t="s">
        <v>441</v>
      </c>
    </row>
    <row r="217" spans="1:6" x14ac:dyDescent="0.45">
      <c r="A217" s="5" t="s">
        <v>143</v>
      </c>
      <c r="B217" s="5">
        <v>0.18</v>
      </c>
      <c r="C217" s="5" t="s">
        <v>440</v>
      </c>
    </row>
    <row r="218" spans="1:6" x14ac:dyDescent="0.45">
      <c r="A218" s="5" t="s">
        <v>151</v>
      </c>
      <c r="B218" s="5">
        <v>5</v>
      </c>
      <c r="C218" s="5" t="s">
        <v>440</v>
      </c>
    </row>
    <row r="219" spans="1:6" x14ac:dyDescent="0.45">
      <c r="A219" s="5" t="s">
        <v>145</v>
      </c>
      <c r="B219" s="5">
        <v>1.2</v>
      </c>
      <c r="C219" s="5" t="s">
        <v>440</v>
      </c>
    </row>
    <row r="220" spans="1:6" x14ac:dyDescent="0.45">
      <c r="A220" s="5" t="s">
        <v>147</v>
      </c>
      <c r="B220" s="5">
        <v>1.1000000000000001</v>
      </c>
      <c r="C220" s="5" t="s">
        <v>440</v>
      </c>
    </row>
    <row r="221" spans="1:6" x14ac:dyDescent="0.45">
      <c r="A221" s="5" t="s">
        <v>149</v>
      </c>
      <c r="B221" s="5">
        <v>4</v>
      </c>
      <c r="C221" s="5" t="s">
        <v>443</v>
      </c>
    </row>
    <row r="222" spans="1:6" x14ac:dyDescent="0.45">
      <c r="A222" s="5" t="s">
        <v>444</v>
      </c>
      <c r="B222" s="5">
        <v>4</v>
      </c>
      <c r="C222" s="5" t="s">
        <v>443</v>
      </c>
    </row>
    <row r="223" spans="1:6" x14ac:dyDescent="0.45">
      <c r="A223" s="5" t="s">
        <v>445</v>
      </c>
      <c r="B223" s="5">
        <v>8</v>
      </c>
      <c r="C223" s="5" t="s">
        <v>443</v>
      </c>
    </row>
    <row r="224" spans="1:6" x14ac:dyDescent="0.45">
      <c r="A224" s="5" t="s">
        <v>446</v>
      </c>
      <c r="B224" s="5">
        <v>0.5</v>
      </c>
      <c r="C224" s="5" t="s">
        <v>440</v>
      </c>
    </row>
    <row r="225" spans="1:3" x14ac:dyDescent="0.45">
      <c r="A225" s="5" t="s">
        <v>447</v>
      </c>
      <c r="B225" s="5">
        <v>1.5</v>
      </c>
      <c r="C225" s="5" t="s">
        <v>440</v>
      </c>
    </row>
    <row r="226" spans="1:3" x14ac:dyDescent="0.45">
      <c r="A226" s="5" t="s">
        <v>448</v>
      </c>
      <c r="B226" s="5">
        <v>10</v>
      </c>
      <c r="C226" s="5" t="s">
        <v>449</v>
      </c>
    </row>
    <row r="227" spans="1:3" x14ac:dyDescent="0.45">
      <c r="A227" s="5" t="s">
        <v>450</v>
      </c>
      <c r="B227" s="5">
        <v>1</v>
      </c>
      <c r="C227" s="5" t="s">
        <v>440</v>
      </c>
    </row>
    <row r="228" spans="1:3" x14ac:dyDescent="0.45">
      <c r="A228" s="5" t="s">
        <v>451</v>
      </c>
      <c r="B228" s="5">
        <v>2.8</v>
      </c>
      <c r="C228" s="5" t="s">
        <v>440</v>
      </c>
    </row>
    <row r="229" spans="1:3" x14ac:dyDescent="0.45">
      <c r="A229" s="5" t="s">
        <v>452</v>
      </c>
      <c r="B229" s="5">
        <v>1</v>
      </c>
      <c r="C229" s="5" t="s">
        <v>440</v>
      </c>
    </row>
    <row r="230" spans="1:3" x14ac:dyDescent="0.45">
      <c r="A230" s="5" t="s">
        <v>453</v>
      </c>
      <c r="B230" s="5">
        <v>0.1</v>
      </c>
      <c r="C230" s="5" t="s">
        <v>440</v>
      </c>
    </row>
    <row r="231" spans="1:3" x14ac:dyDescent="0.45">
      <c r="A231" s="5" t="s">
        <v>454</v>
      </c>
      <c r="B231" s="5">
        <v>6</v>
      </c>
      <c r="C231" s="5" t="s">
        <v>441</v>
      </c>
    </row>
    <row r="232" spans="1:3" x14ac:dyDescent="0.45">
      <c r="A232" s="5" t="s">
        <v>455</v>
      </c>
      <c r="B232" s="5">
        <v>8</v>
      </c>
      <c r="C232" s="5" t="s">
        <v>443</v>
      </c>
    </row>
    <row r="233" spans="1:3" x14ac:dyDescent="0.45">
      <c r="A233" s="5"/>
      <c r="B233" s="5"/>
      <c r="C233" s="5"/>
    </row>
    <row r="234" spans="1:3" x14ac:dyDescent="0.45">
      <c r="A234" s="5"/>
      <c r="B234" s="5"/>
      <c r="C234" s="5"/>
    </row>
    <row r="235" spans="1:3" x14ac:dyDescent="0.45">
      <c r="A235" s="5"/>
      <c r="B235" s="5"/>
      <c r="C235" s="5"/>
    </row>
    <row r="236" spans="1:3" x14ac:dyDescent="0.45">
      <c r="A236" s="5"/>
      <c r="B236" s="5"/>
      <c r="C236" s="5"/>
    </row>
    <row r="237" spans="1:3" x14ac:dyDescent="0.45">
      <c r="A237" s="5"/>
      <c r="B237" s="5"/>
      <c r="C237" s="5"/>
    </row>
    <row r="238" spans="1:3" x14ac:dyDescent="0.45">
      <c r="A238" s="5"/>
      <c r="B238" s="5"/>
      <c r="C238" s="5"/>
    </row>
    <row r="239" spans="1:3" x14ac:dyDescent="0.45">
      <c r="A239" s="5"/>
      <c r="B239" s="5"/>
      <c r="C239" s="5"/>
    </row>
    <row r="240" spans="1:3" x14ac:dyDescent="0.45">
      <c r="A240" s="5"/>
      <c r="B240" s="5"/>
      <c r="C240" s="5"/>
    </row>
    <row r="241" spans="1:3" x14ac:dyDescent="0.45">
      <c r="A241" s="5"/>
      <c r="B241" s="5"/>
      <c r="C241" s="5"/>
    </row>
    <row r="242" spans="1:3" x14ac:dyDescent="0.45">
      <c r="A242" s="5"/>
      <c r="B242" s="5"/>
      <c r="C242" s="5"/>
    </row>
    <row r="243" spans="1:3" x14ac:dyDescent="0.45">
      <c r="A243" s="5"/>
      <c r="B243" s="5"/>
      <c r="C243" s="5"/>
    </row>
    <row r="244" spans="1:3" x14ac:dyDescent="0.45">
      <c r="A244" s="5"/>
      <c r="B244" s="5"/>
      <c r="C244" s="5"/>
    </row>
    <row r="245" spans="1:3" x14ac:dyDescent="0.45">
      <c r="A245" s="5"/>
      <c r="B245" s="5"/>
      <c r="C245" s="5"/>
    </row>
    <row r="246" spans="1:3" x14ac:dyDescent="0.45">
      <c r="A246" s="5"/>
      <c r="B246" s="5"/>
      <c r="C246" s="5"/>
    </row>
    <row r="247" spans="1:3" x14ac:dyDescent="0.45">
      <c r="A247" s="5"/>
      <c r="B247" s="5"/>
      <c r="C247" s="5"/>
    </row>
  </sheetData>
  <dataValidations count="2">
    <dataValidation type="list" showInputMessage="1" showErrorMessage="1" sqref="C3" xr:uid="{00000000-0002-0000-0600-000000000000}">
      <formula1>$D$5:$I$5</formula1>
    </dataValidation>
    <dataValidation type="list" allowBlank="1" showInputMessage="1" showErrorMessage="1" sqref="C214:C247" xr:uid="{00000000-0002-0000-0600-000001000000}">
      <formula1>"fijo,cocina,calentador,esp"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65</vt:i4>
      </vt:variant>
    </vt:vector>
  </HeadingPairs>
  <TitlesOfParts>
    <vt:vector size="72" baseType="lpstr">
      <vt:lpstr>Leeme</vt:lpstr>
      <vt:lpstr>Resumen</vt:lpstr>
      <vt:lpstr>Departamentos</vt:lpstr>
      <vt:lpstr>Viviendas</vt:lpstr>
      <vt:lpstr>Servicios</vt:lpstr>
      <vt:lpstr>Elevadores</vt:lpstr>
      <vt:lpstr>Parametros</vt:lpstr>
      <vt:lpstr>brk_list</vt:lpstr>
      <vt:lpstr>cat_names</vt:lpstr>
      <vt:lpstr>cond_al</vt:lpstr>
      <vt:lpstr>cond_cu</vt:lpstr>
      <vt:lpstr>cond_ocpd</vt:lpstr>
      <vt:lpstr>list_sectores</vt:lpstr>
      <vt:lpstr>p_appl53Min</vt:lpstr>
      <vt:lpstr>p_applFD</vt:lpstr>
      <vt:lpstr>p_calentVA</vt:lpstr>
      <vt:lpstr>p_cocinaVA</vt:lpstr>
      <vt:lpstr>p_detectVA</vt:lpstr>
      <vt:lpstr>p_divFD</vt:lpstr>
      <vt:lpstr>p_elevAuto</vt:lpstr>
      <vt:lpstr>p_extDwVAm2</vt:lpstr>
      <vt:lpstr>p_fases</vt:lpstr>
      <vt:lpstr>p_fCoinc</vt:lpstr>
      <vt:lpstr>p_fdElev</vt:lpstr>
      <vt:lpstr>p_fdEq</vt:lpstr>
      <vt:lpstr>p_fdEsp</vt:lpstr>
      <vt:lpstr>p_fdHvac</vt:lpstr>
      <vt:lpstr>p_fdLuz</vt:lpstr>
      <vt:lpstr>p_fdRec</vt:lpstr>
      <vt:lpstr>p_genFD</vt:lpstr>
      <vt:lpstr>p_gfciVA</vt:lpstr>
      <vt:lpstr>p_hvacAggFD</vt:lpstr>
      <vt:lpstr>p_hvacDwVAm2</vt:lpstr>
      <vt:lpstr>p_hvacFD</vt:lpstr>
      <vt:lpstr>p_hvacProjFD</vt:lpstr>
      <vt:lpstr>p_lavVA</vt:lpstr>
      <vt:lpstr>p_lightVA</vt:lpstr>
      <vt:lpstr>p_manejPct</vt:lpstr>
      <vt:lpstr>p_minBreaker</vt:lpstr>
      <vt:lpstr>p_pf</vt:lpstr>
      <vt:lpstr>p_protFactor</vt:lpstr>
      <vt:lpstr>p_proyServSeparado</vt:lpstr>
      <vt:lpstr>p_rec44</vt:lpstr>
      <vt:lpstr>p_rec44Separado</vt:lpstr>
      <vt:lpstr>p_recDwVAm2</vt:lpstr>
      <vt:lpstr>p_restFD</vt:lpstr>
      <vt:lpstr>p_sacN</vt:lpstr>
      <vt:lpstr>p_sacVA</vt:lpstr>
      <vt:lpstr>p_tablaIncluyeEquipos</vt:lpstr>
      <vt:lpstr>p_telecomVA</vt:lpstr>
      <vt:lpstr>p_tier1</vt:lpstr>
      <vt:lpstr>p_vUnit</vt:lpstr>
      <vt:lpstr>perfil_sel</vt:lpstr>
      <vt:lpstr>t42_f1</vt:lpstr>
      <vt:lpstr>t42_f2</vt:lpstr>
      <vt:lpstr>t42_f3</vt:lpstr>
      <vt:lpstr>t42_h1</vt:lpstr>
      <vt:lpstr>t42_h2</vt:lpstr>
      <vt:lpstr>t44_f1</vt:lpstr>
      <vt:lpstr>t44_f2</vt:lpstr>
      <vt:lpstr>t44_h1</vt:lpstr>
      <vt:lpstr>t620_f</vt:lpstr>
      <vt:lpstr>t620_h</vt:lpstr>
      <vt:lpstr>t84_f</vt:lpstr>
      <vt:lpstr>t84_h</vt:lpstr>
      <vt:lpstr>tbl_cat</vt:lpstr>
      <vt:lpstr>tipos_hvac</vt:lpstr>
      <vt:lpstr>tipos_luz</vt:lpstr>
      <vt:lpstr>tipos_n</vt:lpstr>
      <vt:lpstr>tipos_rec</vt:lpstr>
      <vt:lpstr>tipos_ups</vt:lpstr>
      <vt:lpstr>trafo_list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2026-10-21T09:39:48Z</dcterms:created>
  <dcterms:modified xsi:type="dcterms:W3CDTF">2026-10-21T15:39:52Z</dcterms:modified>
</cp:coreProperties>
</file>